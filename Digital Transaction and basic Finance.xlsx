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lan\Project\Data Analysis\Payments\Digital Payment Transaction, Failure &amp; Financial Reconciliation Analysis\"/>
    </mc:Choice>
  </mc:AlternateContent>
  <xr:revisionPtr revIDLastSave="0" documentId="13_ncr:1_{D81CBD9B-756C-49E9-BBDC-DBC80738CB5D}" xr6:coauthVersionLast="47" xr6:coauthVersionMax="47" xr10:uidLastSave="{00000000-0000-0000-0000-000000000000}"/>
  <bookViews>
    <workbookView xWindow="-108" yWindow="-108" windowWidth="23256" windowHeight="12576" activeTab="1" xr2:uid="{4559B8E1-3F56-44F6-8AF6-890BFCFE2165}"/>
  </bookViews>
  <sheets>
    <sheet name="Charts" sheetId="3" r:id="rId1"/>
    <sheet name="Digital Transactions" sheetId="1" r:id="rId2"/>
    <sheet name="Sheet1" sheetId="4" r:id="rId3"/>
    <sheet name="Pivot Tables" sheetId="2" r:id="rId4"/>
  </sheets>
  <definedNames>
    <definedName name="_xlchart.v1.0" hidden="1">'Digital Transactions'!#REF!</definedName>
    <definedName name="_xlchart.v1.1" hidden="1">'Digital Transactions'!#REF!</definedName>
    <definedName name="_xlchart.v1.10" hidden="1">'Digital Transactions'!$E$2:$E$102</definedName>
    <definedName name="_xlchart.v1.11" hidden="1">'Digital Transactions'!$F$1</definedName>
    <definedName name="_xlchart.v1.12" hidden="1">'Digital Transactions'!$F$2:$F$102</definedName>
    <definedName name="_xlchart.v1.13" hidden="1">'Digital Transactions'!$G$1</definedName>
    <definedName name="_xlchart.v1.14" hidden="1">'Digital Transactions'!$G$2:$G$102</definedName>
    <definedName name="_xlchart.v1.15" hidden="1">'Digital Transactions'!$H$1</definedName>
    <definedName name="_xlchart.v1.16" hidden="1">'Digital Transactions'!$H$2:$H$102</definedName>
    <definedName name="_xlchart.v1.17" hidden="1">'Digital Transactions'!$I$1</definedName>
    <definedName name="_xlchart.v1.18" hidden="1">'Digital Transactions'!$I$2:$I$102</definedName>
    <definedName name="_xlchart.v1.2" hidden="1">'Digital Transactions'!#REF!</definedName>
    <definedName name="_xlchart.v1.3" hidden="1">'Digital Transactions'!#REF!</definedName>
    <definedName name="_xlchart.v1.4" hidden="1">'Digital Transactions'!#REF!</definedName>
    <definedName name="_xlchart.v1.5" hidden="1">'Digital Transactions'!#REF!</definedName>
    <definedName name="_xlchart.v1.6" hidden="1">'Digital Transactions'!#REF!</definedName>
    <definedName name="_xlchart.v1.7" hidden="1">'Digital Transactions'!#REF!</definedName>
    <definedName name="_xlchart.v1.8" hidden="1">'Digital Transactions'!$A$2:$D$102</definedName>
    <definedName name="_xlchart.v1.9" hidden="1">'Digital Transactions'!$E$1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1" l="1"/>
  <c r="L44" i="1"/>
  <c r="L43" i="1"/>
  <c r="L42" i="1"/>
  <c r="L41" i="1"/>
  <c r="U9" i="1"/>
  <c r="T9" i="1"/>
  <c r="S9" i="1"/>
  <c r="Q9" i="1"/>
  <c r="U8" i="1"/>
  <c r="T8" i="1"/>
  <c r="R8" i="1"/>
  <c r="Q8" i="1"/>
  <c r="U7" i="1"/>
  <c r="T7" i="1"/>
  <c r="S7" i="1"/>
  <c r="R7" i="1"/>
  <c r="Q7" i="1"/>
  <c r="U6" i="1"/>
  <c r="T6" i="1"/>
  <c r="S6" i="1"/>
  <c r="R6" i="1"/>
  <c r="Q6" i="1"/>
  <c r="U5" i="1"/>
  <c r="U10" i="1" s="1"/>
  <c r="T5" i="1"/>
  <c r="T10" i="1" s="1"/>
  <c r="S5" i="1"/>
  <c r="S10" i="1" s="1"/>
  <c r="R5" i="1"/>
  <c r="R10" i="1" s="1"/>
  <c r="Q5" i="1"/>
  <c r="Q10" i="1" s="1"/>
  <c r="O36" i="1"/>
  <c r="L21" i="1"/>
  <c r="L16" i="1"/>
  <c r="K16" i="1"/>
  <c r="N8" i="1"/>
  <c r="N7" i="1"/>
  <c r="N6" i="1"/>
  <c r="M6" i="1"/>
  <c r="M9" i="1" s="1"/>
  <c r="M8" i="1"/>
  <c r="M7" i="1"/>
  <c r="L30" i="1"/>
  <c r="L33" i="1" s="1"/>
</calcChain>
</file>

<file path=xl/sharedStrings.xml><?xml version="1.0" encoding="utf-8"?>
<sst xmlns="http://schemas.openxmlformats.org/spreadsheetml/2006/main" count="1187" uniqueCount="195">
  <si>
    <t>Transaction_ID</t>
  </si>
  <si>
    <t>Date</t>
  </si>
  <si>
    <t>Time</t>
  </si>
  <si>
    <t>Payment_Mode</t>
  </si>
  <si>
    <t>Amount</t>
  </si>
  <si>
    <t>Status</t>
  </si>
  <si>
    <t>Failure_Reason</t>
  </si>
  <si>
    <t>Merchant_ID</t>
  </si>
  <si>
    <t xml:space="preserve">Hour </t>
  </si>
  <si>
    <t>No.of failed</t>
  </si>
  <si>
    <t>Failed Rate</t>
  </si>
  <si>
    <t>T1000</t>
  </si>
  <si>
    <t>Credit Card</t>
  </si>
  <si>
    <t>Failed</t>
  </si>
  <si>
    <t>Network Error</t>
  </si>
  <si>
    <t>M003</t>
  </si>
  <si>
    <t>T1001</t>
  </si>
  <si>
    <t>UPI</t>
  </si>
  <si>
    <t>Success</t>
  </si>
  <si>
    <t>NA</t>
  </si>
  <si>
    <t>M002</t>
  </si>
  <si>
    <t>T1002</t>
  </si>
  <si>
    <t>Net Banking</t>
  </si>
  <si>
    <t>Insufficient Funds</t>
  </si>
  <si>
    <t>M001</t>
  </si>
  <si>
    <t>T1003</t>
  </si>
  <si>
    <t>M005</t>
  </si>
  <si>
    <t>Failed_Count</t>
  </si>
  <si>
    <t>Total_Count</t>
  </si>
  <si>
    <t>Column1</t>
  </si>
  <si>
    <t>T1004</t>
  </si>
  <si>
    <t>M004</t>
  </si>
  <si>
    <t>Failure_Rate (%)</t>
  </si>
  <si>
    <t>T1005</t>
  </si>
  <si>
    <t>Fraud</t>
  </si>
  <si>
    <t>Total_Transactions</t>
  </si>
  <si>
    <t>Successful_Transactions</t>
  </si>
  <si>
    <t>Transaction_Fee (?)</t>
  </si>
  <si>
    <t>Net_Revenue</t>
  </si>
  <si>
    <t>T1006</t>
  </si>
  <si>
    <t>Timeout</t>
  </si>
  <si>
    <t>T1007</t>
  </si>
  <si>
    <t>Debit Card</t>
  </si>
  <si>
    <t>T1008</t>
  </si>
  <si>
    <t>Wallet</t>
  </si>
  <si>
    <t>T1009</t>
  </si>
  <si>
    <t>T1010</t>
  </si>
  <si>
    <t>Total</t>
  </si>
  <si>
    <t>T1011</t>
  </si>
  <si>
    <t>T1012</t>
  </si>
  <si>
    <t>T1013</t>
  </si>
  <si>
    <t>T1014</t>
  </si>
  <si>
    <t>Particulars</t>
  </si>
  <si>
    <t>T1015</t>
  </si>
  <si>
    <t>T1016</t>
  </si>
  <si>
    <t>T1017</t>
  </si>
  <si>
    <t>Net Profit</t>
  </si>
  <si>
    <t>T1018</t>
  </si>
  <si>
    <t>Pending</t>
  </si>
  <si>
    <t>T1019</t>
  </si>
  <si>
    <t>T1020</t>
  </si>
  <si>
    <t>Assets</t>
  </si>
  <si>
    <t>Equity</t>
  </si>
  <si>
    <t>T1021</t>
  </si>
  <si>
    <t>T1022</t>
  </si>
  <si>
    <t>T1023</t>
  </si>
  <si>
    <t>Expenses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</si>
  <si>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</si>
  <si>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</si>
  <si>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</si>
  <si>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</si>
  <si>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</si>
  <si>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</si>
  <si>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</si>
  <si>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</si>
  <si>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</si>
  <si>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</si>
  <si>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</si>
  <si>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</si>
  <si>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</si>
  <si>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</si>
  <si>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</si>
  <si>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</si>
  <si>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</si>
  <si>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</si>
  <si>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</si>
  <si>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</si>
  <si>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</si>
  <si>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</si>
  <si>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</si>
  <si>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</si>
  <si>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</si>
  <si>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</si>
  <si>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</si>
  <si>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</si>
  <si>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</si>
  <si>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</si>
  <si>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</si>
  <si>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</si>
  <si>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</si>
  <si>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</si>
  <si>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</si>
  <si>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</si>
  <si>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</si>
  <si>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</si>
  <si>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</si>
  <si>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</si>
  <si>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</si>
  <si>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</si>
  <si>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</si>
  <si>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</si>
  <si>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</si>
  <si>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</si>
  <si>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</si>
  <si>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</si>
  <si>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</si>
  <si>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</si>
  <si>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</si>
  <si>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</si>
  <si>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</si>
  <si>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</si>
  <si>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</si>
  <si>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</si>
  <si>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</si>
  <si>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</si>
  <si>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</si>
  <si>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</si>
  <si>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</si>
  <si>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</si>
  <si>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</si>
  <si>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</si>
  <si>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</si>
  <si>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</si>
  <si>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</si>
  <si>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</si>
  <si>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</si>
  <si>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</si>
  <si>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</si>
  <si>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</si>
  <si>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</si>
  <si>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</si>
  <si>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</si>
  <si>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</si>
  <si>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(All)</t>
  </si>
  <si>
    <t>Row Labels</t>
  </si>
  <si>
    <t>Count of Transaction_ID</t>
  </si>
  <si>
    <t>Grand Total</t>
  </si>
  <si>
    <t xml:space="preserve">Sum of Hour </t>
  </si>
  <si>
    <t>Value</t>
  </si>
  <si>
    <t>Asset</t>
  </si>
  <si>
    <t>Cash &amp; Bank</t>
  </si>
  <si>
    <t>CASH FLOW STATEMENT</t>
  </si>
  <si>
    <t>Net Operating Cash Flow</t>
  </si>
  <si>
    <t>KPI METRICS</t>
  </si>
  <si>
    <t>KPI</t>
  </si>
  <si>
    <t>Success Rate</t>
  </si>
  <si>
    <t>Failure Rate</t>
  </si>
  <si>
    <t>Average Successful Transaction</t>
  </si>
  <si>
    <t>Highest Transaction</t>
  </si>
  <si>
    <t>Lowest Transaction</t>
  </si>
  <si>
    <t>Column2</t>
  </si>
  <si>
    <t xml:space="preserve">Success: </t>
  </si>
  <si>
    <t>TRANSACTION COUNTS</t>
  </si>
  <si>
    <t>Count</t>
  </si>
  <si>
    <t>TOTAL AMOUNT BY STATUS</t>
  </si>
  <si>
    <t>Total Amount</t>
  </si>
  <si>
    <t>Total Transactions</t>
  </si>
  <si>
    <t>PROFIT &amp; LOSS STATEMENT</t>
  </si>
  <si>
    <t>Amount (₹)</t>
  </si>
  <si>
    <t>Platform Revenue</t>
  </si>
  <si>
    <t xml:space="preserve">Revenue </t>
  </si>
  <si>
    <t>PLATFORM REVENUE (2%)</t>
  </si>
  <si>
    <t>MERCHANT PAYABLE</t>
  </si>
  <si>
    <r>
      <t>Failed:</t>
    </r>
    <r>
      <rPr>
        <sz val="11"/>
        <color theme="1"/>
        <rFont val="Calibri"/>
        <family val="2"/>
        <scheme val="minor"/>
      </rPr>
      <t xml:space="preserve"> </t>
    </r>
  </si>
  <si>
    <r>
      <t>Pending:</t>
    </r>
    <r>
      <rPr>
        <sz val="11"/>
        <color theme="1"/>
        <rFont val="Calibri"/>
        <family val="2"/>
        <scheme val="minor"/>
      </rPr>
      <t xml:space="preserve"> </t>
    </r>
  </si>
  <si>
    <t>JOURNAL ENTRY (SUMMARY)</t>
  </si>
  <si>
    <t xml:space="preserve">Dr Cash / Bank                     </t>
  </si>
  <si>
    <t xml:space="preserve">    Cr Merchant Payable            </t>
  </si>
  <si>
    <t xml:space="preserve">    Cr Platform Revenue             </t>
  </si>
  <si>
    <t>BALANCE SHEET</t>
  </si>
  <si>
    <t>Liabilities</t>
  </si>
  <si>
    <t>Liability</t>
  </si>
  <si>
    <t>Merchant Payable</t>
  </si>
  <si>
    <t>Retained Earnings</t>
  </si>
  <si>
    <t>Balanced:</t>
  </si>
  <si>
    <t>Operating Activities</t>
  </si>
  <si>
    <t>Cash received from customers</t>
  </si>
  <si>
    <t>Cash paid to merchants</t>
  </si>
  <si>
    <t>Platform Revenue (2%)</t>
  </si>
  <si>
    <t>Merchant Settlement</t>
  </si>
  <si>
    <t>Cash Balance</t>
  </si>
  <si>
    <t>Successful Transaction Value</t>
  </si>
  <si>
    <t>₹179,795</t>
  </si>
  <si>
    <t>₹3,595.90</t>
  </si>
  <si>
    <t>₹176,199.10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</si>
</sst>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4" fontId="0" fillId="0" borderId="0" xfId="0" applyNumberFormat="1"/>
    <xf numFmtId="3" fontId="0" fillId="0" borderId="0" xfId="0" applyNumberFormat="1"/>
    <xf numFmtId="169" fontId="0" fillId="0" borderId="0" xfId="0" applyNumberFormat="1"/>
    <xf numFmtId="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26" formatCode="h:mm:ss"/>
    </dxf>
    <dxf>
      <numFmt numFmtId="19" formatCode="m/d/yyyy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 Transaction and basic Finance.xlsx]Charts!PivotTable39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Hour  by Merchant_ID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Charts!$A$4:$A$8</c:f>
              <c:strCache>
                <c:ptCount val="5"/>
                <c:pt idx="0">
                  <c:v>M001</c:v>
                </c:pt>
                <c:pt idx="1">
                  <c:v>M002</c:v>
                </c:pt>
                <c:pt idx="2">
                  <c:v>M003</c:v>
                </c:pt>
                <c:pt idx="3">
                  <c:v>M004</c:v>
                </c:pt>
                <c:pt idx="4">
                  <c:v>M005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160</c:v>
                </c:pt>
                <c:pt idx="1">
                  <c:v>250</c:v>
                </c:pt>
                <c:pt idx="2">
                  <c:v>100</c:v>
                </c:pt>
                <c:pt idx="3">
                  <c:v>240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7-4B88-9B20-BA4A28C85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148271"/>
        <c:axId val="502141071"/>
      </c:barChart>
      <c:catAx>
        <c:axId val="50214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1071"/>
        <c:crosses val="autoZero"/>
        <c:auto val="1"/>
        <c:lblAlgn val="ctr"/>
        <c:lblOffset val="100"/>
        <c:noMultiLvlLbl val="0"/>
      </c:catAx>
      <c:valAx>
        <c:axId val="5021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Transaction_ID by Payment_Mode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6-45AD-9E0D-6D7440C960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96-45AD-9E0D-6D7440C960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96-45AD-9E0D-6D7440C960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96-45AD-9E0D-6D7440C960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96-45AD-9E0D-6D7440C96056}"/>
              </c:ext>
            </c:extLst>
          </c:dPt>
          <c:cat>
            <c:strLit>
              <c:ptCount val="5"/>
              <c:pt idx="0">
                <c:v>Credit Card</c:v>
              </c:pt>
              <c:pt idx="1">
                <c:v>Debit Card</c:v>
              </c:pt>
              <c:pt idx="2">
                <c:v>Net Banking</c:v>
              </c:pt>
              <c:pt idx="3">
                <c:v>UPI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16</c:v>
              </c:pt>
              <c:pt idx="1">
                <c:v>22</c:v>
              </c:pt>
              <c:pt idx="2">
                <c:v>19</c:v>
              </c:pt>
              <c:pt idx="3">
                <c:v>26</c:v>
              </c:pt>
              <c:pt idx="4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A-D696-45AD-9E0D-6D7440C96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Transaction_ID by Failure_Reason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Fraud</c:v>
              </c:pt>
              <c:pt idx="1">
                <c:v>Insufficient Funds</c:v>
              </c:pt>
              <c:pt idx="2">
                <c:v>NA</c:v>
              </c:pt>
              <c:pt idx="3">
                <c:v>Network Error</c:v>
              </c:pt>
              <c:pt idx="4">
                <c:v>Timeout</c:v>
              </c:pt>
            </c:strLit>
          </c:cat>
          <c:val>
            <c:numLit>
              <c:formatCode>General</c:formatCode>
              <c:ptCount val="5"/>
              <c:pt idx="0">
                <c:v>3</c:v>
              </c:pt>
              <c:pt idx="1">
                <c:v>7</c:v>
              </c:pt>
              <c:pt idx="2">
                <c:v>81</c:v>
              </c:pt>
              <c:pt idx="3">
                <c:v>4</c:v>
              </c:pt>
              <c:pt idx="4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B291-4FFB-87C3-B133D08DD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2144431"/>
        <c:axId val="502147791"/>
      </c:barChart>
      <c:catAx>
        <c:axId val="502144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7791"/>
        <c:crosses val="autoZero"/>
        <c:auto val="1"/>
        <c:lblAlgn val="ctr"/>
        <c:lblOffset val="100"/>
        <c:noMultiLvlLbl val="0"/>
      </c:catAx>
      <c:valAx>
        <c:axId val="50214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Transaction_ID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CB-4A33-B702-287795A912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CB-4A33-B702-287795A912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CB-4A33-B702-287795A912AD}"/>
              </c:ext>
            </c:extLst>
          </c:dPt>
          <c:cat>
            <c:strLit>
              <c:ptCount val="3"/>
              <c:pt idx="0">
                <c:v>Failed</c:v>
              </c:pt>
              <c:pt idx="1">
                <c:v>Pending</c:v>
              </c:pt>
              <c:pt idx="2">
                <c:v>Success</c:v>
              </c:pt>
            </c:strLit>
          </c:cat>
          <c:val>
            <c:numLit>
              <c:formatCode>General</c:formatCode>
              <c:ptCount val="3"/>
              <c:pt idx="0">
                <c:v>19</c:v>
              </c:pt>
              <c:pt idx="1">
                <c:v>9</c:v>
              </c:pt>
              <c:pt idx="2">
                <c:v>72</c:v>
              </c:pt>
            </c:numLit>
          </c:val>
          <c:extLst>
            <c:ext xmlns:c16="http://schemas.microsoft.com/office/drawing/2014/chart" uri="{C3380CC4-5D6E-409C-BE32-E72D297353CC}">
              <c16:uniqueId val="{00000006-7BCB-4A33-B702-287795A91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'Digital Transactions'!$E$1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Transactions'!$E$2:$E$102</c:f>
              <c:numCache>
                <c:formatCode>General</c:formatCode>
                <c:ptCount val="101"/>
                <c:pt idx="0">
                  <c:v>960</c:v>
                </c:pt>
                <c:pt idx="1">
                  <c:v>3872</c:v>
                </c:pt>
                <c:pt idx="2">
                  <c:v>3192</c:v>
                </c:pt>
                <c:pt idx="3">
                  <c:v>566</c:v>
                </c:pt>
                <c:pt idx="4">
                  <c:v>4526</c:v>
                </c:pt>
                <c:pt idx="5">
                  <c:v>3544</c:v>
                </c:pt>
                <c:pt idx="6">
                  <c:v>3271</c:v>
                </c:pt>
                <c:pt idx="7">
                  <c:v>3019</c:v>
                </c:pt>
                <c:pt idx="8">
                  <c:v>230</c:v>
                </c:pt>
                <c:pt idx="9">
                  <c:v>1785</c:v>
                </c:pt>
                <c:pt idx="10">
                  <c:v>869</c:v>
                </c:pt>
                <c:pt idx="11">
                  <c:v>2491</c:v>
                </c:pt>
                <c:pt idx="12">
                  <c:v>2533</c:v>
                </c:pt>
                <c:pt idx="13">
                  <c:v>1284</c:v>
                </c:pt>
                <c:pt idx="14">
                  <c:v>4655</c:v>
                </c:pt>
                <c:pt idx="15">
                  <c:v>3485</c:v>
                </c:pt>
                <c:pt idx="16">
                  <c:v>4217</c:v>
                </c:pt>
                <c:pt idx="17">
                  <c:v>4943</c:v>
                </c:pt>
                <c:pt idx="18">
                  <c:v>3004</c:v>
                </c:pt>
                <c:pt idx="19">
                  <c:v>574</c:v>
                </c:pt>
                <c:pt idx="20">
                  <c:v>1182</c:v>
                </c:pt>
                <c:pt idx="21">
                  <c:v>2658</c:v>
                </c:pt>
                <c:pt idx="22">
                  <c:v>2147</c:v>
                </c:pt>
                <c:pt idx="23">
                  <c:v>2847</c:v>
                </c:pt>
                <c:pt idx="24">
                  <c:v>1075</c:v>
                </c:pt>
                <c:pt idx="25">
                  <c:v>1906</c:v>
                </c:pt>
                <c:pt idx="26">
                  <c:v>289</c:v>
                </c:pt>
                <c:pt idx="27">
                  <c:v>2834</c:v>
                </c:pt>
                <c:pt idx="28">
                  <c:v>3105</c:v>
                </c:pt>
                <c:pt idx="29">
                  <c:v>4758</c:v>
                </c:pt>
                <c:pt idx="30">
                  <c:v>1999</c:v>
                </c:pt>
                <c:pt idx="31">
                  <c:v>1367</c:v>
                </c:pt>
                <c:pt idx="32">
                  <c:v>1628</c:v>
                </c:pt>
                <c:pt idx="33">
                  <c:v>3302</c:v>
                </c:pt>
                <c:pt idx="34">
                  <c:v>3656</c:v>
                </c:pt>
                <c:pt idx="35">
                  <c:v>3990</c:v>
                </c:pt>
                <c:pt idx="36">
                  <c:v>746</c:v>
                </c:pt>
                <c:pt idx="37">
                  <c:v>2988</c:v>
                </c:pt>
                <c:pt idx="38">
                  <c:v>2535</c:v>
                </c:pt>
                <c:pt idx="39">
                  <c:v>700</c:v>
                </c:pt>
                <c:pt idx="40">
                  <c:v>2463</c:v>
                </c:pt>
                <c:pt idx="41">
                  <c:v>2161</c:v>
                </c:pt>
                <c:pt idx="42">
                  <c:v>341</c:v>
                </c:pt>
                <c:pt idx="43">
                  <c:v>2141</c:v>
                </c:pt>
                <c:pt idx="44">
                  <c:v>2924</c:v>
                </c:pt>
                <c:pt idx="45">
                  <c:v>2712</c:v>
                </c:pt>
                <c:pt idx="46">
                  <c:v>1463</c:v>
                </c:pt>
                <c:pt idx="47">
                  <c:v>1578</c:v>
                </c:pt>
                <c:pt idx="48">
                  <c:v>2656</c:v>
                </c:pt>
                <c:pt idx="49">
                  <c:v>875</c:v>
                </c:pt>
                <c:pt idx="50">
                  <c:v>4114</c:v>
                </c:pt>
                <c:pt idx="51">
                  <c:v>134</c:v>
                </c:pt>
                <c:pt idx="52">
                  <c:v>3252</c:v>
                </c:pt>
                <c:pt idx="53">
                  <c:v>2055</c:v>
                </c:pt>
                <c:pt idx="54">
                  <c:v>1685</c:v>
                </c:pt>
                <c:pt idx="55">
                  <c:v>4043</c:v>
                </c:pt>
                <c:pt idx="56">
                  <c:v>3173</c:v>
                </c:pt>
                <c:pt idx="57">
                  <c:v>1121</c:v>
                </c:pt>
                <c:pt idx="58">
                  <c:v>3561</c:v>
                </c:pt>
                <c:pt idx="59">
                  <c:v>2713</c:v>
                </c:pt>
                <c:pt idx="60">
                  <c:v>3943</c:v>
                </c:pt>
                <c:pt idx="61">
                  <c:v>1600</c:v>
                </c:pt>
                <c:pt idx="62">
                  <c:v>4898</c:v>
                </c:pt>
                <c:pt idx="63">
                  <c:v>261</c:v>
                </c:pt>
                <c:pt idx="64">
                  <c:v>4397</c:v>
                </c:pt>
                <c:pt idx="65">
                  <c:v>2081</c:v>
                </c:pt>
                <c:pt idx="66">
                  <c:v>1095</c:v>
                </c:pt>
                <c:pt idx="67">
                  <c:v>3442</c:v>
                </c:pt>
                <c:pt idx="68">
                  <c:v>4651</c:v>
                </c:pt>
                <c:pt idx="69">
                  <c:v>3898</c:v>
                </c:pt>
                <c:pt idx="70">
                  <c:v>1375</c:v>
                </c:pt>
                <c:pt idx="71">
                  <c:v>1116</c:v>
                </c:pt>
                <c:pt idx="72">
                  <c:v>437</c:v>
                </c:pt>
                <c:pt idx="73">
                  <c:v>978</c:v>
                </c:pt>
                <c:pt idx="74">
                  <c:v>1176</c:v>
                </c:pt>
                <c:pt idx="75">
                  <c:v>4987</c:v>
                </c:pt>
                <c:pt idx="76">
                  <c:v>4093</c:v>
                </c:pt>
                <c:pt idx="77">
                  <c:v>4959</c:v>
                </c:pt>
                <c:pt idx="78">
                  <c:v>479</c:v>
                </c:pt>
                <c:pt idx="79">
                  <c:v>592</c:v>
                </c:pt>
                <c:pt idx="80">
                  <c:v>2162</c:v>
                </c:pt>
                <c:pt idx="81">
                  <c:v>3984</c:v>
                </c:pt>
                <c:pt idx="82">
                  <c:v>164</c:v>
                </c:pt>
                <c:pt idx="83">
                  <c:v>2668</c:v>
                </c:pt>
                <c:pt idx="84">
                  <c:v>2127</c:v>
                </c:pt>
                <c:pt idx="85">
                  <c:v>2795</c:v>
                </c:pt>
                <c:pt idx="86">
                  <c:v>1595</c:v>
                </c:pt>
                <c:pt idx="87">
                  <c:v>491</c:v>
                </c:pt>
                <c:pt idx="88">
                  <c:v>4614</c:v>
                </c:pt>
                <c:pt idx="89">
                  <c:v>4574</c:v>
                </c:pt>
                <c:pt idx="90">
                  <c:v>3661</c:v>
                </c:pt>
                <c:pt idx="91">
                  <c:v>2378</c:v>
                </c:pt>
                <c:pt idx="92">
                  <c:v>3199</c:v>
                </c:pt>
                <c:pt idx="93">
                  <c:v>300</c:v>
                </c:pt>
                <c:pt idx="94">
                  <c:v>4975</c:v>
                </c:pt>
                <c:pt idx="95">
                  <c:v>3204</c:v>
                </c:pt>
                <c:pt idx="96">
                  <c:v>4698</c:v>
                </c:pt>
                <c:pt idx="97">
                  <c:v>2554</c:v>
                </c:pt>
                <c:pt idx="98">
                  <c:v>3745</c:v>
                </c:pt>
                <c:pt idx="99">
                  <c:v>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B-4677-9903-DAFAA5B327B5}"/>
            </c:ext>
          </c:extLst>
        </c:ser>
        <c:ser>
          <c:idx val="1"/>
          <c:order val="1"/>
          <c:tx>
            <c:strRef>
              <c:f>'Digital Transactions'!$F$1</c:f>
              <c:strCache>
                <c:ptCount val="1"/>
                <c:pt idx="0">
                  <c:v>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Transactions'!$F$2:$F$102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9B-4677-9903-DAFAA5B327B5}"/>
            </c:ext>
          </c:extLst>
        </c:ser>
        <c:ser>
          <c:idx val="2"/>
          <c:order val="2"/>
          <c:tx>
            <c:strRef>
              <c:f>'Digital Transactions'!$G$1</c:f>
              <c:strCache>
                <c:ptCount val="1"/>
                <c:pt idx="0">
                  <c:v>Failure_Reason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Transactions'!$G$2:$G$102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9B-4677-9903-DAFAA5B327B5}"/>
            </c:ext>
          </c:extLst>
        </c:ser>
        <c:ser>
          <c:idx val="3"/>
          <c:order val="3"/>
          <c:tx>
            <c:strRef>
              <c:f>'Digital Transactions'!$H$1</c:f>
              <c:strCache>
                <c:ptCount val="1"/>
                <c:pt idx="0">
                  <c:v>Merchant_ID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Transactions'!$H$2:$H$102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9B-4677-9903-DAFAA5B327B5}"/>
            </c:ext>
          </c:extLst>
        </c:ser>
        <c:ser>
          <c:idx val="4"/>
          <c:order val="4"/>
          <c:tx>
            <c:strRef>
              <c:f>'Digital Transactions'!$I$1</c:f>
              <c:strCache>
                <c:ptCount val="1"/>
                <c:pt idx="0">
                  <c:v>Hour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Transactions'!$I$2:$I$102</c:f>
              <c:numCache>
                <c:formatCode>General</c:formatCode>
                <c:ptCount val="10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9B-4677-9903-DAFAA5B32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147791"/>
        <c:axId val="502142511"/>
      </c:lineChart>
      <c:catAx>
        <c:axId val="50214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2511"/>
        <c:crosses val="autoZero"/>
        <c:auto val="1"/>
        <c:lblAlgn val="ctr"/>
        <c:lblOffset val="100"/>
        <c:noMultiLvlLbl val="0"/>
      </c:catAx>
      <c:valAx>
        <c:axId val="5021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2537182852142"/>
          <c:y val="0.17171296296296298"/>
          <c:w val="0.87753018372703417"/>
          <c:h val="0.56109543598716827"/>
        </c:manualLayout>
      </c:layout>
      <c:areaChart>
        <c:grouping val="stacked"/>
        <c:varyColors val="0"/>
        <c:ser>
          <c:idx val="0"/>
          <c:order val="0"/>
          <c:tx>
            <c:strRef>
              <c:f>'Digital Transactions'!$E$1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Transactions'!$E$2:$E$102</c:f>
              <c:numCache>
                <c:formatCode>General</c:formatCode>
                <c:ptCount val="101"/>
                <c:pt idx="0">
                  <c:v>960</c:v>
                </c:pt>
                <c:pt idx="1">
                  <c:v>3872</c:v>
                </c:pt>
                <c:pt idx="2">
                  <c:v>3192</c:v>
                </c:pt>
                <c:pt idx="3">
                  <c:v>566</c:v>
                </c:pt>
                <c:pt idx="4">
                  <c:v>4526</c:v>
                </c:pt>
                <c:pt idx="5">
                  <c:v>3544</c:v>
                </c:pt>
                <c:pt idx="6">
                  <c:v>3271</c:v>
                </c:pt>
                <c:pt idx="7">
                  <c:v>3019</c:v>
                </c:pt>
                <c:pt idx="8">
                  <c:v>230</c:v>
                </c:pt>
                <c:pt idx="9">
                  <c:v>1785</c:v>
                </c:pt>
                <c:pt idx="10">
                  <c:v>869</c:v>
                </c:pt>
                <c:pt idx="11">
                  <c:v>2491</c:v>
                </c:pt>
                <c:pt idx="12">
                  <c:v>2533</c:v>
                </c:pt>
                <c:pt idx="13">
                  <c:v>1284</c:v>
                </c:pt>
                <c:pt idx="14">
                  <c:v>4655</c:v>
                </c:pt>
                <c:pt idx="15">
                  <c:v>3485</c:v>
                </c:pt>
                <c:pt idx="16">
                  <c:v>4217</c:v>
                </c:pt>
                <c:pt idx="17">
                  <c:v>4943</c:v>
                </c:pt>
                <c:pt idx="18">
                  <c:v>3004</c:v>
                </c:pt>
                <c:pt idx="19">
                  <c:v>574</c:v>
                </c:pt>
                <c:pt idx="20">
                  <c:v>1182</c:v>
                </c:pt>
                <c:pt idx="21">
                  <c:v>2658</c:v>
                </c:pt>
                <c:pt idx="22">
                  <c:v>2147</c:v>
                </c:pt>
                <c:pt idx="23">
                  <c:v>2847</c:v>
                </c:pt>
                <c:pt idx="24">
                  <c:v>1075</c:v>
                </c:pt>
                <c:pt idx="25">
                  <c:v>1906</c:v>
                </c:pt>
                <c:pt idx="26">
                  <c:v>289</c:v>
                </c:pt>
                <c:pt idx="27">
                  <c:v>2834</c:v>
                </c:pt>
                <c:pt idx="28">
                  <c:v>3105</c:v>
                </c:pt>
                <c:pt idx="29">
                  <c:v>4758</c:v>
                </c:pt>
                <c:pt idx="30">
                  <c:v>1999</c:v>
                </c:pt>
                <c:pt idx="31">
                  <c:v>1367</c:v>
                </c:pt>
                <c:pt idx="32">
                  <c:v>1628</c:v>
                </c:pt>
                <c:pt idx="33">
                  <c:v>3302</c:v>
                </c:pt>
                <c:pt idx="34">
                  <c:v>3656</c:v>
                </c:pt>
                <c:pt idx="35">
                  <c:v>3990</c:v>
                </c:pt>
                <c:pt idx="36">
                  <c:v>746</c:v>
                </c:pt>
                <c:pt idx="37">
                  <c:v>2988</c:v>
                </c:pt>
                <c:pt idx="38">
                  <c:v>2535</c:v>
                </c:pt>
                <c:pt idx="39">
                  <c:v>700</c:v>
                </c:pt>
                <c:pt idx="40">
                  <c:v>2463</c:v>
                </c:pt>
                <c:pt idx="41">
                  <c:v>2161</c:v>
                </c:pt>
                <c:pt idx="42">
                  <c:v>341</c:v>
                </c:pt>
                <c:pt idx="43">
                  <c:v>2141</c:v>
                </c:pt>
                <c:pt idx="44">
                  <c:v>2924</c:v>
                </c:pt>
                <c:pt idx="45">
                  <c:v>2712</c:v>
                </c:pt>
                <c:pt idx="46">
                  <c:v>1463</c:v>
                </c:pt>
                <c:pt idx="47">
                  <c:v>1578</c:v>
                </c:pt>
                <c:pt idx="48">
                  <c:v>2656</c:v>
                </c:pt>
                <c:pt idx="49">
                  <c:v>875</c:v>
                </c:pt>
                <c:pt idx="50">
                  <c:v>4114</c:v>
                </c:pt>
                <c:pt idx="51">
                  <c:v>134</c:v>
                </c:pt>
                <c:pt idx="52">
                  <c:v>3252</c:v>
                </c:pt>
                <c:pt idx="53">
                  <c:v>2055</c:v>
                </c:pt>
                <c:pt idx="54">
                  <c:v>1685</c:v>
                </c:pt>
                <c:pt idx="55">
                  <c:v>4043</c:v>
                </c:pt>
                <c:pt idx="56">
                  <c:v>3173</c:v>
                </c:pt>
                <c:pt idx="57">
                  <c:v>1121</c:v>
                </c:pt>
                <c:pt idx="58">
                  <c:v>3561</c:v>
                </c:pt>
                <c:pt idx="59">
                  <c:v>2713</c:v>
                </c:pt>
                <c:pt idx="60">
                  <c:v>3943</c:v>
                </c:pt>
                <c:pt idx="61">
                  <c:v>1600</c:v>
                </c:pt>
                <c:pt idx="62">
                  <c:v>4898</c:v>
                </c:pt>
                <c:pt idx="63">
                  <c:v>261</c:v>
                </c:pt>
                <c:pt idx="64">
                  <c:v>4397</c:v>
                </c:pt>
                <c:pt idx="65">
                  <c:v>2081</c:v>
                </c:pt>
                <c:pt idx="66">
                  <c:v>1095</c:v>
                </c:pt>
                <c:pt idx="67">
                  <c:v>3442</c:v>
                </c:pt>
                <c:pt idx="68">
                  <c:v>4651</c:v>
                </c:pt>
                <c:pt idx="69">
                  <c:v>3898</c:v>
                </c:pt>
                <c:pt idx="70">
                  <c:v>1375</c:v>
                </c:pt>
                <c:pt idx="71">
                  <c:v>1116</c:v>
                </c:pt>
                <c:pt idx="72">
                  <c:v>437</c:v>
                </c:pt>
                <c:pt idx="73">
                  <c:v>978</c:v>
                </c:pt>
                <c:pt idx="74">
                  <c:v>1176</c:v>
                </c:pt>
                <c:pt idx="75">
                  <c:v>4987</c:v>
                </c:pt>
                <c:pt idx="76">
                  <c:v>4093</c:v>
                </c:pt>
                <c:pt idx="77">
                  <c:v>4959</c:v>
                </c:pt>
                <c:pt idx="78">
                  <c:v>479</c:v>
                </c:pt>
                <c:pt idx="79">
                  <c:v>592</c:v>
                </c:pt>
                <c:pt idx="80">
                  <c:v>2162</c:v>
                </c:pt>
                <c:pt idx="81">
                  <c:v>3984</c:v>
                </c:pt>
                <c:pt idx="82">
                  <c:v>164</c:v>
                </c:pt>
                <c:pt idx="83">
                  <c:v>2668</c:v>
                </c:pt>
                <c:pt idx="84">
                  <c:v>2127</c:v>
                </c:pt>
                <c:pt idx="85">
                  <c:v>2795</c:v>
                </c:pt>
                <c:pt idx="86">
                  <c:v>1595</c:v>
                </c:pt>
                <c:pt idx="87">
                  <c:v>491</c:v>
                </c:pt>
                <c:pt idx="88">
                  <c:v>4614</c:v>
                </c:pt>
                <c:pt idx="89">
                  <c:v>4574</c:v>
                </c:pt>
                <c:pt idx="90">
                  <c:v>3661</c:v>
                </c:pt>
                <c:pt idx="91">
                  <c:v>2378</c:v>
                </c:pt>
                <c:pt idx="92">
                  <c:v>3199</c:v>
                </c:pt>
                <c:pt idx="93">
                  <c:v>300</c:v>
                </c:pt>
                <c:pt idx="94">
                  <c:v>4975</c:v>
                </c:pt>
                <c:pt idx="95">
                  <c:v>3204</c:v>
                </c:pt>
                <c:pt idx="96">
                  <c:v>4698</c:v>
                </c:pt>
                <c:pt idx="97">
                  <c:v>2554</c:v>
                </c:pt>
                <c:pt idx="98">
                  <c:v>3745</c:v>
                </c:pt>
                <c:pt idx="99">
                  <c:v>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0-4CCF-93B0-B5B0677E41F2}"/>
            </c:ext>
          </c:extLst>
        </c:ser>
        <c:ser>
          <c:idx val="1"/>
          <c:order val="1"/>
          <c:tx>
            <c:strRef>
              <c:f>'Digital Transactions'!$F$1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Transactions'!$F$2:$F$102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F0-4CCF-93B0-B5B0677E41F2}"/>
            </c:ext>
          </c:extLst>
        </c:ser>
        <c:ser>
          <c:idx val="2"/>
          <c:order val="2"/>
          <c:tx>
            <c:strRef>
              <c:f>'Digital Transactions'!$G$1</c:f>
              <c:strCache>
                <c:ptCount val="1"/>
                <c:pt idx="0">
                  <c:v>Failure_Reason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Transactions'!$G$2:$G$102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F0-4CCF-93B0-B5B0677E41F2}"/>
            </c:ext>
          </c:extLst>
        </c:ser>
        <c:ser>
          <c:idx val="3"/>
          <c:order val="3"/>
          <c:tx>
            <c:strRef>
              <c:f>'Digital Transactions'!$H$1</c:f>
              <c:strCache>
                <c:ptCount val="1"/>
                <c:pt idx="0">
                  <c:v>Merchant_ID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Transactions'!$H$2:$H$102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F0-4CCF-93B0-B5B0677E41F2}"/>
            </c:ext>
          </c:extLst>
        </c:ser>
        <c:ser>
          <c:idx val="4"/>
          <c:order val="4"/>
          <c:tx>
            <c:strRef>
              <c:f>'Digital Transactions'!$I$1</c:f>
              <c:strCache>
                <c:ptCount val="1"/>
                <c:pt idx="0">
                  <c:v>Hour 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'Digital Transactions'!$A$2:$D$102</c15:sqref>
                  </c15:fullRef>
                  <c15:levelRef>
                    <c15:sqref>'Digital Transactions'!$A$2:$A$102</c15:sqref>
                  </c15:levelRef>
                </c:ext>
              </c:extLst>
              <c:f>'Digital Transactions'!$A$2:$A$102</c:f>
              <c:strCache>
                <c:ptCount val="100"/>
                <c:pt idx="0">
                  <c:v>T1000</c:v>
                </c:pt>
                <c:pt idx="1">
                  <c:v>T1001</c:v>
                </c:pt>
                <c:pt idx="2">
                  <c:v>T1002</c:v>
                </c:pt>
                <c:pt idx="3">
                  <c:v>T1003</c:v>
                </c:pt>
                <c:pt idx="4">
                  <c:v>T1004</c:v>
                </c:pt>
                <c:pt idx="5">
                  <c:v>T1005</c:v>
                </c:pt>
                <c:pt idx="6">
                  <c:v>T1006</c:v>
                </c:pt>
                <c:pt idx="7">
                  <c:v>T1007</c:v>
                </c:pt>
                <c:pt idx="8">
                  <c:v>T1008</c:v>
                </c:pt>
                <c:pt idx="9">
                  <c:v>T1009</c:v>
                </c:pt>
                <c:pt idx="10">
                  <c:v>T1010</c:v>
                </c:pt>
                <c:pt idx="11">
                  <c:v>T1011</c:v>
                </c:pt>
                <c:pt idx="12">
                  <c:v>T1012</c:v>
                </c:pt>
                <c:pt idx="13">
                  <c:v>T1013</c:v>
                </c:pt>
                <c:pt idx="14">
                  <c:v>T1014</c:v>
                </c:pt>
                <c:pt idx="15">
                  <c:v>T1015</c:v>
                </c:pt>
                <c:pt idx="16">
                  <c:v>T1016</c:v>
                </c:pt>
                <c:pt idx="17">
                  <c:v>T1017</c:v>
                </c:pt>
                <c:pt idx="18">
                  <c:v>T1018</c:v>
                </c:pt>
                <c:pt idx="19">
                  <c:v>T1019</c:v>
                </c:pt>
                <c:pt idx="20">
                  <c:v>T1020</c:v>
                </c:pt>
                <c:pt idx="21">
                  <c:v>T1021</c:v>
                </c:pt>
                <c:pt idx="22">
                  <c:v>T1022</c:v>
                </c:pt>
                <c:pt idx="23">
                  <c:v>T1023</c:v>
                </c:pt>
                <c:pt idx="24">
                  <c:v>T1024</c:v>
                </c:pt>
                <c:pt idx="25">
                  <c:v>T1025</c:v>
                </c:pt>
                <c:pt idx="26">
                  <c:v>T1026</c:v>
                </c:pt>
                <c:pt idx="27">
                  <c:v>T1027</c:v>
                </c:pt>
                <c:pt idx="28">
                  <c:v>T1028</c:v>
                </c:pt>
                <c:pt idx="29">
                  <c:v>T1029</c:v>
                </c:pt>
                <c:pt idx="30">
                  <c:v>T1030</c:v>
                </c:pt>
                <c:pt idx="31">
                  <c:v>T1031</c:v>
                </c:pt>
                <c:pt idx="32">
                  <c:v>T1032</c:v>
                </c:pt>
                <c:pt idx="33">
                  <c:v>T1033</c:v>
                </c:pt>
                <c:pt idx="34">
                  <c:v>T1034</c:v>
                </c:pt>
                <c:pt idx="35">
                  <c:v>T1035</c:v>
                </c:pt>
                <c:pt idx="36">
                  <c:v>T1036</c:v>
                </c:pt>
                <c:pt idx="37">
                  <c:v>T1037</c:v>
                </c:pt>
                <c:pt idx="38">
                  <c:v>T1038</c:v>
                </c:pt>
                <c:pt idx="39">
                  <c:v>T1039</c:v>
                </c:pt>
                <c:pt idx="40">
                  <c:v>T1040</c:v>
                </c:pt>
                <c:pt idx="41">
                  <c:v>T1041</c:v>
                </c:pt>
                <c:pt idx="42">
                  <c:v>T1042</c:v>
                </c:pt>
                <c:pt idx="43">
                  <c:v>T1043</c:v>
                </c:pt>
                <c:pt idx="44">
                  <c:v>T1044</c:v>
                </c:pt>
                <c:pt idx="45">
                  <c:v>T1045</c:v>
                </c:pt>
                <c:pt idx="46">
                  <c:v>T1046</c:v>
                </c:pt>
                <c:pt idx="47">
                  <c:v>T1047</c:v>
                </c:pt>
                <c:pt idx="48">
                  <c:v>T1048</c:v>
                </c:pt>
                <c:pt idx="49">
                  <c:v>T1049</c:v>
                </c:pt>
                <c:pt idx="50">
                  <c:v>T1050</c:v>
                </c:pt>
                <c:pt idx="51">
                  <c:v>T1051</c:v>
                </c:pt>
                <c:pt idx="52">
                  <c:v>T1052</c:v>
                </c:pt>
                <c:pt idx="53">
                  <c:v>T1053</c:v>
                </c:pt>
                <c:pt idx="54">
                  <c:v>T1054</c:v>
                </c:pt>
                <c:pt idx="55">
                  <c:v>T1055</c:v>
                </c:pt>
                <c:pt idx="56">
                  <c:v>T1056</c:v>
                </c:pt>
                <c:pt idx="57">
                  <c:v>T1057</c:v>
                </c:pt>
                <c:pt idx="58">
                  <c:v>T1058</c:v>
                </c:pt>
                <c:pt idx="59">
                  <c:v>T1059</c:v>
                </c:pt>
                <c:pt idx="60">
                  <c:v>T1060</c:v>
                </c:pt>
                <c:pt idx="61">
                  <c:v>T1061</c:v>
                </c:pt>
                <c:pt idx="62">
                  <c:v>T1062</c:v>
                </c:pt>
                <c:pt idx="63">
                  <c:v>T1063</c:v>
                </c:pt>
                <c:pt idx="64">
                  <c:v>T1064</c:v>
                </c:pt>
                <c:pt idx="65">
                  <c:v>T1065</c:v>
                </c:pt>
                <c:pt idx="66">
                  <c:v>T1066</c:v>
                </c:pt>
                <c:pt idx="67">
                  <c:v>T1067</c:v>
                </c:pt>
                <c:pt idx="68">
                  <c:v>T1068</c:v>
                </c:pt>
                <c:pt idx="69">
                  <c:v>T1069</c:v>
                </c:pt>
                <c:pt idx="70">
                  <c:v>T1070</c:v>
                </c:pt>
                <c:pt idx="71">
                  <c:v>T1071</c:v>
                </c:pt>
                <c:pt idx="72">
                  <c:v>T1072</c:v>
                </c:pt>
                <c:pt idx="73">
                  <c:v>T1073</c:v>
                </c:pt>
                <c:pt idx="74">
                  <c:v>T1074</c:v>
                </c:pt>
                <c:pt idx="75">
                  <c:v>T1075</c:v>
                </c:pt>
                <c:pt idx="76">
                  <c:v>T1076</c:v>
                </c:pt>
                <c:pt idx="77">
                  <c:v>T1077</c:v>
                </c:pt>
                <c:pt idx="78">
                  <c:v>T1078</c:v>
                </c:pt>
                <c:pt idx="79">
                  <c:v>T1079</c:v>
                </c:pt>
                <c:pt idx="80">
                  <c:v>T1080</c:v>
                </c:pt>
                <c:pt idx="81">
                  <c:v>T1081</c:v>
                </c:pt>
                <c:pt idx="82">
                  <c:v>T1082</c:v>
                </c:pt>
                <c:pt idx="83">
                  <c:v>T1083</c:v>
                </c:pt>
                <c:pt idx="84">
                  <c:v>T1084</c:v>
                </c:pt>
                <c:pt idx="85">
                  <c:v>T1085</c:v>
                </c:pt>
                <c:pt idx="86">
                  <c:v>T1086</c:v>
                </c:pt>
                <c:pt idx="87">
                  <c:v>T1087</c:v>
                </c:pt>
                <c:pt idx="88">
                  <c:v>T1088</c:v>
                </c:pt>
                <c:pt idx="89">
                  <c:v>T1089</c:v>
                </c:pt>
                <c:pt idx="90">
                  <c:v>T1090</c:v>
                </c:pt>
                <c:pt idx="91">
                  <c:v>T1091</c:v>
                </c:pt>
                <c:pt idx="92">
                  <c:v>T1092</c:v>
                </c:pt>
                <c:pt idx="93">
                  <c:v>T1093</c:v>
                </c:pt>
                <c:pt idx="94">
                  <c:v>T1094</c:v>
                </c:pt>
                <c:pt idx="95">
                  <c:v>T1095</c:v>
                </c:pt>
                <c:pt idx="96">
                  <c:v>T1096</c:v>
                </c:pt>
                <c:pt idx="97">
                  <c:v>T1097</c:v>
                </c:pt>
                <c:pt idx="98">
                  <c:v>T1098</c:v>
                </c:pt>
                <c:pt idx="99">
                  <c:v>T1099</c:v>
                </c:pt>
              </c:strCache>
            </c:strRef>
          </c:cat>
          <c:val>
            <c:numRef>
              <c:f>'Digital Transactions'!$I$2:$I$102</c:f>
              <c:numCache>
                <c:formatCode>General</c:formatCode>
                <c:ptCount val="10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F0-4CCF-93B0-B5B0677E4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46831"/>
        <c:axId val="502154031"/>
      </c:areaChart>
      <c:catAx>
        <c:axId val="502146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54031"/>
        <c:crosses val="autoZero"/>
        <c:auto val="1"/>
        <c:lblAlgn val="ctr"/>
        <c:lblOffset val="100"/>
        <c:noMultiLvlLbl val="0"/>
      </c:catAx>
      <c:valAx>
        <c:axId val="50215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6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  <cx:data id="1">
      <cx:strDim type="cat">
        <cx:f>_xlchart.v1.8</cx:f>
      </cx:strDim>
      <cx:numDim type="val">
        <cx:f>_xlchart.v1.12</cx:f>
      </cx:numDim>
    </cx:data>
    <cx:data id="2">
      <cx:strDim type="cat">
        <cx:f>_xlchart.v1.8</cx:f>
      </cx:strDim>
      <cx:numDim type="val">
        <cx:f>_xlchart.v1.14</cx:f>
      </cx:numDim>
    </cx:data>
    <cx:data id="3">
      <cx:strDim type="cat">
        <cx:f>_xlchart.v1.8</cx:f>
      </cx:strDim>
      <cx:numDim type="val">
        <cx:f>_xlchart.v1.16</cx:f>
      </cx:numDim>
    </cx:data>
    <cx:data id="4">
      <cx:strDim type="cat">
        <cx:f>_xlchart.v1.8</cx:f>
      </cx:strDim>
      <cx:numDim type="val">
        <cx:f>_xlchart.v1.18</cx:f>
      </cx:numDim>
    </cx:data>
  </cx:chartData>
  <cx:chart>
    <cx:title pos="t" align="ctr" overlay="0"/>
    <cx:plotArea>
      <cx:plotAreaRegion>
        <cx:series layoutId="clusteredColumn" uniqueId="{61571BFA-955B-46BD-82D6-B81D6D156F99}" formatIdx="0">
          <cx:tx>
            <cx:txData>
              <cx:f>_xlchart.v1.9</cx:f>
              <cx:v>Amount</cx:v>
            </cx:txData>
          </cx:tx>
          <cx:dataId val="0"/>
          <cx:layoutPr>
            <cx:binning intervalClosed="r"/>
          </cx:layoutPr>
        </cx:series>
        <cx:series layoutId="clusteredColumn" hidden="1" uniqueId="{9A20F18F-58E0-453E-AE36-CFF6046EC670}" formatIdx="1">
          <cx:tx>
            <cx:txData>
              <cx:f>_xlchart.v1.11</cx:f>
              <cx:v>Status</cx:v>
            </cx:txData>
          </cx:tx>
          <cx:dataId val="1"/>
          <cx:layoutPr>
            <cx:binning intervalClosed="r"/>
          </cx:layoutPr>
        </cx:series>
        <cx:series layoutId="clusteredColumn" hidden="1" uniqueId="{3CD4F963-1253-4006-AE8D-82F219FE0D6C}" formatIdx="2">
          <cx:tx>
            <cx:txData>
              <cx:f>_xlchart.v1.13</cx:f>
              <cx:v>Failure_Reason</cx:v>
            </cx:txData>
          </cx:tx>
          <cx:dataId val="2"/>
          <cx:layoutPr>
            <cx:binning intervalClosed="r"/>
          </cx:layoutPr>
        </cx:series>
        <cx:series layoutId="clusteredColumn" hidden="1" uniqueId="{3BD5A566-447B-4C8C-A5E5-4D990C84CCEF}" formatIdx="3">
          <cx:tx>
            <cx:txData>
              <cx:f>_xlchart.v1.15</cx:f>
              <cx:v>Merchant_ID</cx:v>
            </cx:txData>
          </cx:tx>
          <cx:dataId val="3"/>
          <cx:layoutPr>
            <cx:binning intervalClosed="r"/>
          </cx:layoutPr>
        </cx:series>
        <cx:series layoutId="clusteredColumn" hidden="1" uniqueId="{149B4235-FADA-46C9-8CBC-4A55AF081377}" formatIdx="4">
          <cx:tx>
            <cx:txData>
              <cx:f>_xlchart.v1.17</cx:f>
              <cx:v>Hour </cx:v>
            </cx:txData>
          </cx:tx>
          <cx:dataId val="4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26670</xdr:rowOff>
    </xdr:from>
    <xdr:to>
      <xdr:col>10</xdr:col>
      <xdr:colOff>266700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9E2CC-3AAE-4581-CAD8-EB41E1A64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30480</xdr:colOff>
      <xdr:row>1</xdr:row>
      <xdr:rowOff>53340</xdr:rowOff>
    </xdr:from>
    <xdr:to>
      <xdr:col>22</xdr:col>
      <xdr:colOff>335280</xdr:colOff>
      <xdr:row>16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E76919-48BD-4D05-B7DF-DE4B09115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7567B7-304E-42A1-A2FA-A12D3CFD4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144780</xdr:colOff>
      <xdr:row>18</xdr:row>
      <xdr:rowOff>53340</xdr:rowOff>
    </xdr:from>
    <xdr:to>
      <xdr:col>22</xdr:col>
      <xdr:colOff>449580</xdr:colOff>
      <xdr:row>33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D18D64-6D61-4DAD-BE7A-556B084FF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601980</xdr:colOff>
      <xdr:row>36</xdr:row>
      <xdr:rowOff>106680</xdr:rowOff>
    </xdr:from>
    <xdr:to>
      <xdr:col>10</xdr:col>
      <xdr:colOff>297180</xdr:colOff>
      <xdr:row>51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795D09-718B-4A80-B077-2B2DFFE58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464820</xdr:colOff>
      <xdr:row>36</xdr:row>
      <xdr:rowOff>137160</xdr:rowOff>
    </xdr:from>
    <xdr:to>
      <xdr:col>22</xdr:col>
      <xdr:colOff>160020</xdr:colOff>
      <xdr:row>51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159F22-B287-485A-A298-18F4FFA12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144780</xdr:colOff>
      <xdr:row>53</xdr:row>
      <xdr:rowOff>175260</xdr:rowOff>
    </xdr:from>
    <xdr:to>
      <xdr:col>10</xdr:col>
      <xdr:colOff>449580</xdr:colOff>
      <xdr:row>68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9D917AD-B90D-4C08-B892-34640E0A2B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1840" y="9867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igital_Payment_Sample_Data01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985449305554" createdVersion="8" refreshedVersion="8" minRefreshableVersion="3" recordCount="100" xr:uid="{2B4AC863-8207-4FB5-9D57-7312276A4DA3}">
  <cacheSource type="worksheet">
    <worksheetSource name="Table1" r:id="rId2"/>
  </cacheSource>
  <cacheFields count="9">
    <cacheField name="Transaction_ID" numFmtId="0">
      <sharedItems/>
    </cacheField>
    <cacheField name="Date" numFmtId="14">
      <sharedItems containsSemiMixedTypes="0" containsNonDate="0" containsDate="1" containsString="0" minDate="2026-01-10T00:00:00" maxDate="2026-02-09T00:00:00"/>
    </cacheField>
    <cacheField name="Time" numFmtId="21">
      <sharedItems containsSemiMixedTypes="0" containsNonDate="0" containsDate="1" containsString="0" minDate="1899-12-30T10:47:12" maxDate="1899-12-30T10:47:12"/>
    </cacheField>
    <cacheField name="Payment_Mode" numFmtId="0">
      <sharedItems count="5">
        <s v="Credit Card"/>
        <s v="UPI"/>
        <s v="Net Banking"/>
        <s v="Wallet"/>
        <s v="Debit Card"/>
      </sharedItems>
    </cacheField>
    <cacheField name="Amount" numFmtId="0">
      <sharedItems containsSemiMixedTypes="0" containsString="0" containsNumber="1" containsInteger="1" minValue="134" maxValue="4987"/>
    </cacheField>
    <cacheField name="Status" numFmtId="0">
      <sharedItems count="3">
        <s v="Failed"/>
        <s v="Success"/>
        <s v="Pending"/>
      </sharedItems>
    </cacheField>
    <cacheField name="Failure_Reason" numFmtId="0">
      <sharedItems count="5">
        <s v="Network Error"/>
        <s v="NA"/>
        <s v="Insufficient Funds"/>
        <s v="Fraud"/>
        <s v="Timeout"/>
      </sharedItems>
    </cacheField>
    <cacheField name="Merchant_ID" numFmtId="0">
      <sharedItems count="5">
        <s v="M003"/>
        <s v="M002"/>
        <s v="M001"/>
        <s v="M005"/>
        <s v="M004"/>
      </sharedItems>
    </cacheField>
    <cacheField name="Hour " numFmtId="0">
      <sharedItems containsSemiMixedTypes="0" containsString="0" containsNumber="1" containsInteger="1" minValue="10" maxValue="10" count="1"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993031481485" createdVersion="8" refreshedVersion="8" minRefreshableVersion="3" recordCount="100" xr:uid="{CDC87647-BE00-414D-BC30-F923325B10D6}">
  <cacheSource type="worksheet">
    <worksheetSource name="Table1"/>
  </cacheSource>
  <cacheFields count="9">
    <cacheField name="Transaction_ID" numFmtId="0">
      <sharedItems/>
    </cacheField>
    <cacheField name="Date" numFmtId="14">
      <sharedItems containsSemiMixedTypes="0" containsNonDate="0" containsDate="1" containsString="0" minDate="2026-01-10T00:00:00" maxDate="2026-02-09T00:00:00"/>
    </cacheField>
    <cacheField name="Time" numFmtId="21">
      <sharedItems containsSemiMixedTypes="0" containsNonDate="0" containsDate="1" containsString="0" minDate="1899-12-30T10:47:12" maxDate="1899-12-30T10:47:12"/>
    </cacheField>
    <cacheField name="Payment_Mode" numFmtId="0">
      <sharedItems/>
    </cacheField>
    <cacheField name="Amount" numFmtId="0">
      <sharedItems containsSemiMixedTypes="0" containsString="0" containsNumber="1" containsInteger="1" minValue="134" maxValue="4987"/>
    </cacheField>
    <cacheField name="Status" numFmtId="0">
      <sharedItems count="3">
        <s v="Failed"/>
        <s v="Success"/>
        <s v="Pending"/>
      </sharedItems>
    </cacheField>
    <cacheField name="Failure_Reason" numFmtId="0">
      <sharedItems count="5">
        <s v="Network Error"/>
        <s v="NA"/>
        <s v="Insufficient Funds"/>
        <s v="Fraud"/>
        <s v="Timeout"/>
      </sharedItems>
    </cacheField>
    <cacheField name="Merchant_ID" numFmtId="0">
      <sharedItems/>
    </cacheField>
    <cacheField name="Hour " numFmtId="0">
      <sharedItems containsSemiMixedTypes="0" containsString="0" containsNumber="1" containsInteger="1" minValue="10" maxValue="10" count="1"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993967476854" createdVersion="8" refreshedVersion="8" minRefreshableVersion="3" recordCount="100" xr:uid="{B23C46DF-6DEE-4EBC-9697-F4CB00304CB9}">
  <cacheSource type="worksheet">
    <worksheetSource name="Table1"/>
  </cacheSource>
  <cacheFields count="9">
    <cacheField name="Transaction_ID" numFmtId="0">
      <sharedItems/>
    </cacheField>
    <cacheField name="Date" numFmtId="14">
      <sharedItems containsSemiMixedTypes="0" containsNonDate="0" containsDate="1" containsString="0" minDate="2026-01-10T00:00:00" maxDate="2026-02-09T00:00:00"/>
    </cacheField>
    <cacheField name="Time" numFmtId="21">
      <sharedItems containsSemiMixedTypes="0" containsNonDate="0" containsDate="1" containsString="0" minDate="1899-12-30T10:47:12" maxDate="1899-12-30T10:47:12"/>
    </cacheField>
    <cacheField name="Payment_Mode" numFmtId="0">
      <sharedItems/>
    </cacheField>
    <cacheField name="Amount" numFmtId="0">
      <sharedItems containsSemiMixedTypes="0" containsString="0" containsNumber="1" containsInteger="1" minValue="134" maxValue="4987"/>
    </cacheField>
    <cacheField name="Status" numFmtId="0">
      <sharedItems/>
    </cacheField>
    <cacheField name="Failure_Reason" numFmtId="0">
      <sharedItems/>
    </cacheField>
    <cacheField name="Merchant_ID" numFmtId="0">
      <sharedItems count="5">
        <s v="M003"/>
        <s v="M002"/>
        <s v="M001"/>
        <s v="M005"/>
        <s v="M004"/>
      </sharedItems>
    </cacheField>
    <cacheField name="Hour " numFmtId="0">
      <sharedItems containsSemiMixedTypes="0" containsString="0" containsNumber="1" containsInteger="1" minValue="1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994255439815" createdVersion="8" refreshedVersion="8" minRefreshableVersion="3" recordCount="100" xr:uid="{F44553C9-E61E-4938-B69C-342BB407103A}">
  <cacheSource type="worksheet">
    <worksheetSource name="Table1"/>
  </cacheSource>
  <cacheFields count="9">
    <cacheField name="Transaction_ID" numFmtId="0">
      <sharedItems/>
    </cacheField>
    <cacheField name="Date" numFmtId="14">
      <sharedItems containsSemiMixedTypes="0" containsNonDate="0" containsDate="1" containsString="0" minDate="2026-01-10T00:00:00" maxDate="2026-02-09T00:00:00"/>
    </cacheField>
    <cacheField name="Time" numFmtId="21">
      <sharedItems containsSemiMixedTypes="0" containsNonDate="0" containsDate="1" containsString="0" minDate="1899-12-30T10:47:12" maxDate="1899-12-30T10:47:12"/>
    </cacheField>
    <cacheField name="Payment_Mode" numFmtId="0">
      <sharedItems count="5">
        <s v="Credit Card"/>
        <s v="UPI"/>
        <s v="Net Banking"/>
        <s v="Wallet"/>
        <s v="Debit Card"/>
      </sharedItems>
    </cacheField>
    <cacheField name="Amount" numFmtId="0">
      <sharedItems containsSemiMixedTypes="0" containsString="0" containsNumber="1" containsInteger="1" minValue="134" maxValue="4987"/>
    </cacheField>
    <cacheField name="Status" numFmtId="0">
      <sharedItems/>
    </cacheField>
    <cacheField name="Failure_Reason" numFmtId="0">
      <sharedItems/>
    </cacheField>
    <cacheField name="Merchant_ID" numFmtId="0">
      <sharedItems/>
    </cacheField>
    <cacheField name="Hour " numFmtId="0">
      <sharedItems containsSemiMixedTypes="0" containsString="0" containsNumber="1" containsInteger="1" minValue="1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995062847222" createdVersion="8" refreshedVersion="8" minRefreshableVersion="3" recordCount="100" xr:uid="{4C541CAC-78E3-4C5C-8E7C-DF1BC68D70D4}">
  <cacheSource type="worksheet">
    <worksheetSource name="Table1"/>
  </cacheSource>
  <cacheFields count="9">
    <cacheField name="Transaction_ID" numFmtId="0">
      <sharedItems/>
    </cacheField>
    <cacheField name="Date" numFmtId="14">
      <sharedItems containsSemiMixedTypes="0" containsNonDate="0" containsDate="1" containsString="0" minDate="2026-01-10T00:00:00" maxDate="2026-02-09T00:00:00"/>
    </cacheField>
    <cacheField name="Time" numFmtId="21">
      <sharedItems containsSemiMixedTypes="0" containsNonDate="0" containsDate="1" containsString="0" minDate="1899-12-30T10:47:12" maxDate="1899-12-30T10:47:12"/>
    </cacheField>
    <cacheField name="Payment_Mode" numFmtId="0">
      <sharedItems/>
    </cacheField>
    <cacheField name="Amount" numFmtId="0">
      <sharedItems containsSemiMixedTypes="0" containsString="0" containsNumber="1" containsInteger="1" minValue="134" maxValue="4987"/>
    </cacheField>
    <cacheField name="Status" numFmtId="0">
      <sharedItems/>
    </cacheField>
    <cacheField name="Failure_Reason" numFmtId="0">
      <sharedItems count="5">
        <s v="Network Error"/>
        <s v="NA"/>
        <s v="Insufficient Funds"/>
        <s v="Fraud"/>
        <s v="Timeout"/>
      </sharedItems>
    </cacheField>
    <cacheField name="Merchant_ID" numFmtId="0">
      <sharedItems/>
    </cacheField>
    <cacheField name="Hour " numFmtId="0">
      <sharedItems containsSemiMixedTypes="0" containsString="0" containsNumber="1" containsInteger="1" minValue="1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995778472221" createdVersion="8" refreshedVersion="8" minRefreshableVersion="3" recordCount="100" xr:uid="{864C4F98-D5A5-4C1E-BEE9-56CCC6151019}">
  <cacheSource type="worksheet">
    <worksheetSource name="Table1"/>
  </cacheSource>
  <cacheFields count="9">
    <cacheField name="Transaction_ID" numFmtId="0">
      <sharedItems/>
    </cacheField>
    <cacheField name="Date" numFmtId="14">
      <sharedItems containsSemiMixedTypes="0" containsNonDate="0" containsDate="1" containsString="0" minDate="2026-01-10T00:00:00" maxDate="2026-02-09T00:00:00"/>
    </cacheField>
    <cacheField name="Time" numFmtId="21">
      <sharedItems containsSemiMixedTypes="0" containsNonDate="0" containsDate="1" containsString="0" minDate="1899-12-30T10:47:12" maxDate="1899-12-30T10:47:12"/>
    </cacheField>
    <cacheField name="Payment_Mode" numFmtId="0">
      <sharedItems/>
    </cacheField>
    <cacheField name="Amount" numFmtId="0">
      <sharedItems containsSemiMixedTypes="0" containsString="0" containsNumber="1" containsInteger="1" minValue="134" maxValue="4987"/>
    </cacheField>
    <cacheField name="Status" numFmtId="0">
      <sharedItems count="3">
        <s v="Failed"/>
        <s v="Success"/>
        <s v="Pending"/>
      </sharedItems>
    </cacheField>
    <cacheField name="Failure_Reason" numFmtId="0">
      <sharedItems/>
    </cacheField>
    <cacheField name="Merchant_ID" numFmtId="0">
      <sharedItems/>
    </cacheField>
    <cacheField name="Hour " numFmtId="0">
      <sharedItems containsSemiMixedTypes="0" containsString="0" containsNumber="1" containsInteger="1" minValue="1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1000"/>
    <d v="2026-01-25T00:00:00"/>
    <d v="1899-12-30T10:47:12"/>
    <x v="0"/>
    <n v="960"/>
    <x v="0"/>
    <x v="0"/>
    <x v="0"/>
    <x v="0"/>
  </r>
  <r>
    <s v="T1001"/>
    <d v="2026-01-13T00:00:00"/>
    <d v="1899-12-30T10:47:12"/>
    <x v="1"/>
    <n v="3872"/>
    <x v="1"/>
    <x v="1"/>
    <x v="1"/>
    <x v="0"/>
  </r>
  <r>
    <s v="T1002"/>
    <d v="2026-01-31T00:00:00"/>
    <d v="1899-12-30T10:47:12"/>
    <x v="2"/>
    <n v="3192"/>
    <x v="0"/>
    <x v="2"/>
    <x v="2"/>
    <x v="0"/>
  </r>
  <r>
    <s v="T1003"/>
    <d v="2026-01-27T00:00:00"/>
    <d v="1899-12-30T10:47:12"/>
    <x v="2"/>
    <n v="566"/>
    <x v="1"/>
    <x v="1"/>
    <x v="3"/>
    <x v="0"/>
  </r>
  <r>
    <s v="T1004"/>
    <d v="2026-01-29T00:00:00"/>
    <d v="1899-12-30T10:47:12"/>
    <x v="1"/>
    <n v="4526"/>
    <x v="1"/>
    <x v="1"/>
    <x v="4"/>
    <x v="0"/>
  </r>
  <r>
    <s v="T1005"/>
    <d v="2026-01-27T00:00:00"/>
    <d v="1899-12-30T10:47:12"/>
    <x v="0"/>
    <n v="3544"/>
    <x v="0"/>
    <x v="3"/>
    <x v="1"/>
    <x v="0"/>
  </r>
  <r>
    <s v="T1006"/>
    <d v="2026-01-13T00:00:00"/>
    <d v="1899-12-30T10:47:12"/>
    <x v="1"/>
    <n v="3271"/>
    <x v="0"/>
    <x v="4"/>
    <x v="2"/>
    <x v="0"/>
  </r>
  <r>
    <s v="T1007"/>
    <d v="2026-02-08T00:00:00"/>
    <d v="1899-12-30T10:47:12"/>
    <x v="2"/>
    <n v="3019"/>
    <x v="1"/>
    <x v="1"/>
    <x v="4"/>
    <x v="0"/>
  </r>
  <r>
    <s v="T1008"/>
    <d v="2026-02-07T00:00:00"/>
    <d v="1899-12-30T10:47:12"/>
    <x v="3"/>
    <n v="230"/>
    <x v="0"/>
    <x v="4"/>
    <x v="3"/>
    <x v="0"/>
  </r>
  <r>
    <s v="T1009"/>
    <d v="2026-02-08T00:00:00"/>
    <d v="1899-12-30T10:47:12"/>
    <x v="3"/>
    <n v="1785"/>
    <x v="1"/>
    <x v="1"/>
    <x v="4"/>
    <x v="0"/>
  </r>
  <r>
    <s v="T1010"/>
    <d v="2026-02-03T00:00:00"/>
    <d v="1899-12-30T10:47:12"/>
    <x v="4"/>
    <n v="869"/>
    <x v="1"/>
    <x v="1"/>
    <x v="2"/>
    <x v="0"/>
  </r>
  <r>
    <s v="T1011"/>
    <d v="2026-02-04T00:00:00"/>
    <d v="1899-12-30T10:47:12"/>
    <x v="1"/>
    <n v="2491"/>
    <x v="1"/>
    <x v="1"/>
    <x v="4"/>
    <x v="0"/>
  </r>
  <r>
    <s v="T1012"/>
    <d v="2026-02-08T00:00:00"/>
    <d v="1899-12-30T10:47:12"/>
    <x v="1"/>
    <n v="2533"/>
    <x v="1"/>
    <x v="1"/>
    <x v="0"/>
    <x v="0"/>
  </r>
  <r>
    <s v="T1013"/>
    <d v="2026-01-13T00:00:00"/>
    <d v="1899-12-30T10:47:12"/>
    <x v="4"/>
    <n v="1284"/>
    <x v="1"/>
    <x v="1"/>
    <x v="4"/>
    <x v="0"/>
  </r>
  <r>
    <s v="T1014"/>
    <d v="2026-02-08T00:00:00"/>
    <d v="1899-12-30T10:47:12"/>
    <x v="4"/>
    <n v="4655"/>
    <x v="1"/>
    <x v="1"/>
    <x v="1"/>
    <x v="0"/>
  </r>
  <r>
    <s v="T1015"/>
    <d v="2026-01-24T00:00:00"/>
    <d v="1899-12-30T10:47:12"/>
    <x v="4"/>
    <n v="3485"/>
    <x v="1"/>
    <x v="1"/>
    <x v="1"/>
    <x v="0"/>
  </r>
  <r>
    <s v="T1016"/>
    <d v="2026-02-04T00:00:00"/>
    <d v="1899-12-30T10:47:12"/>
    <x v="2"/>
    <n v="4217"/>
    <x v="1"/>
    <x v="1"/>
    <x v="0"/>
    <x v="0"/>
  </r>
  <r>
    <s v="T1017"/>
    <d v="2026-01-26T00:00:00"/>
    <d v="1899-12-30T10:47:12"/>
    <x v="1"/>
    <n v="4943"/>
    <x v="1"/>
    <x v="1"/>
    <x v="2"/>
    <x v="0"/>
  </r>
  <r>
    <s v="T1018"/>
    <d v="2026-01-26T00:00:00"/>
    <d v="1899-12-30T10:47:12"/>
    <x v="2"/>
    <n v="3004"/>
    <x v="2"/>
    <x v="1"/>
    <x v="1"/>
    <x v="0"/>
  </r>
  <r>
    <s v="T1019"/>
    <d v="2026-02-02T00:00:00"/>
    <d v="1899-12-30T10:47:12"/>
    <x v="4"/>
    <n v="574"/>
    <x v="1"/>
    <x v="1"/>
    <x v="3"/>
    <x v="0"/>
  </r>
  <r>
    <s v="T1020"/>
    <d v="2026-02-07T00:00:00"/>
    <d v="1899-12-30T10:47:12"/>
    <x v="1"/>
    <n v="1182"/>
    <x v="1"/>
    <x v="1"/>
    <x v="1"/>
    <x v="0"/>
  </r>
  <r>
    <s v="T1021"/>
    <d v="2026-01-27T00:00:00"/>
    <d v="1899-12-30T10:47:12"/>
    <x v="2"/>
    <n v="2658"/>
    <x v="0"/>
    <x v="0"/>
    <x v="1"/>
    <x v="0"/>
  </r>
  <r>
    <s v="T1022"/>
    <d v="2026-01-31T00:00:00"/>
    <d v="1899-12-30T10:47:12"/>
    <x v="2"/>
    <n v="2147"/>
    <x v="1"/>
    <x v="1"/>
    <x v="2"/>
    <x v="0"/>
  </r>
  <r>
    <s v="T1023"/>
    <d v="2026-02-07T00:00:00"/>
    <d v="1899-12-30T10:47:12"/>
    <x v="4"/>
    <n v="2847"/>
    <x v="1"/>
    <x v="1"/>
    <x v="4"/>
    <x v="0"/>
  </r>
  <r>
    <s v="T1024"/>
    <d v="2026-01-27T00:00:00"/>
    <d v="1899-12-30T10:47:12"/>
    <x v="1"/>
    <n v="1075"/>
    <x v="1"/>
    <x v="1"/>
    <x v="1"/>
    <x v="0"/>
  </r>
  <r>
    <s v="T1025"/>
    <d v="2026-01-13T00:00:00"/>
    <d v="1899-12-30T10:47:12"/>
    <x v="4"/>
    <n v="1906"/>
    <x v="1"/>
    <x v="1"/>
    <x v="0"/>
    <x v="0"/>
  </r>
  <r>
    <s v="T1026"/>
    <d v="2026-01-11T00:00:00"/>
    <d v="1899-12-30T10:47:12"/>
    <x v="1"/>
    <n v="289"/>
    <x v="2"/>
    <x v="1"/>
    <x v="4"/>
    <x v="0"/>
  </r>
  <r>
    <s v="T1027"/>
    <d v="2026-01-10T00:00:00"/>
    <d v="1899-12-30T10:47:12"/>
    <x v="3"/>
    <n v="2834"/>
    <x v="0"/>
    <x v="0"/>
    <x v="3"/>
    <x v="0"/>
  </r>
  <r>
    <s v="T1028"/>
    <d v="2026-01-26T00:00:00"/>
    <d v="1899-12-30T10:47:12"/>
    <x v="0"/>
    <n v="3105"/>
    <x v="1"/>
    <x v="1"/>
    <x v="2"/>
    <x v="0"/>
  </r>
  <r>
    <s v="T1029"/>
    <d v="2026-01-18T00:00:00"/>
    <d v="1899-12-30T10:47:12"/>
    <x v="0"/>
    <n v="4758"/>
    <x v="0"/>
    <x v="2"/>
    <x v="3"/>
    <x v="0"/>
  </r>
  <r>
    <s v="T1030"/>
    <d v="2026-02-07T00:00:00"/>
    <d v="1899-12-30T10:47:12"/>
    <x v="0"/>
    <n v="1999"/>
    <x v="0"/>
    <x v="3"/>
    <x v="4"/>
    <x v="0"/>
  </r>
  <r>
    <s v="T1031"/>
    <d v="2026-01-11T00:00:00"/>
    <d v="1899-12-30T10:47:12"/>
    <x v="4"/>
    <n v="1367"/>
    <x v="1"/>
    <x v="1"/>
    <x v="4"/>
    <x v="0"/>
  </r>
  <r>
    <s v="T1032"/>
    <d v="2026-02-08T00:00:00"/>
    <d v="1899-12-30T10:47:12"/>
    <x v="3"/>
    <n v="1628"/>
    <x v="0"/>
    <x v="2"/>
    <x v="4"/>
    <x v="0"/>
  </r>
  <r>
    <s v="T1033"/>
    <d v="2026-02-03T00:00:00"/>
    <d v="1899-12-30T10:47:12"/>
    <x v="1"/>
    <n v="3302"/>
    <x v="1"/>
    <x v="1"/>
    <x v="3"/>
    <x v="0"/>
  </r>
  <r>
    <s v="T1034"/>
    <d v="2026-01-30T00:00:00"/>
    <d v="1899-12-30T10:47:12"/>
    <x v="2"/>
    <n v="3656"/>
    <x v="0"/>
    <x v="2"/>
    <x v="4"/>
    <x v="0"/>
  </r>
  <r>
    <s v="T1035"/>
    <d v="2026-02-07T00:00:00"/>
    <d v="1899-12-30T10:47:12"/>
    <x v="1"/>
    <n v="3990"/>
    <x v="0"/>
    <x v="2"/>
    <x v="3"/>
    <x v="0"/>
  </r>
  <r>
    <s v="T1036"/>
    <d v="2026-02-05T00:00:00"/>
    <d v="1899-12-30T10:47:12"/>
    <x v="2"/>
    <n v="746"/>
    <x v="1"/>
    <x v="1"/>
    <x v="4"/>
    <x v="0"/>
  </r>
  <r>
    <s v="T1037"/>
    <d v="2026-01-15T00:00:00"/>
    <d v="1899-12-30T10:47:12"/>
    <x v="1"/>
    <n v="2988"/>
    <x v="1"/>
    <x v="1"/>
    <x v="0"/>
    <x v="0"/>
  </r>
  <r>
    <s v="T1038"/>
    <d v="2026-01-14T00:00:00"/>
    <d v="1899-12-30T10:47:12"/>
    <x v="3"/>
    <n v="2535"/>
    <x v="1"/>
    <x v="1"/>
    <x v="4"/>
    <x v="0"/>
  </r>
  <r>
    <s v="T1039"/>
    <d v="2026-01-18T00:00:00"/>
    <d v="1899-12-30T10:47:12"/>
    <x v="2"/>
    <n v="700"/>
    <x v="1"/>
    <x v="1"/>
    <x v="3"/>
    <x v="0"/>
  </r>
  <r>
    <s v="T1040"/>
    <d v="2026-01-27T00:00:00"/>
    <d v="1899-12-30T10:47:12"/>
    <x v="4"/>
    <n v="2463"/>
    <x v="0"/>
    <x v="4"/>
    <x v="1"/>
    <x v="0"/>
  </r>
  <r>
    <s v="T1041"/>
    <d v="2026-01-26T00:00:00"/>
    <d v="1899-12-30T10:47:12"/>
    <x v="1"/>
    <n v="2161"/>
    <x v="0"/>
    <x v="3"/>
    <x v="4"/>
    <x v="0"/>
  </r>
  <r>
    <s v="T1042"/>
    <d v="2026-01-15T00:00:00"/>
    <d v="1899-12-30T10:47:12"/>
    <x v="1"/>
    <n v="341"/>
    <x v="1"/>
    <x v="1"/>
    <x v="1"/>
    <x v="0"/>
  </r>
  <r>
    <s v="T1043"/>
    <d v="2026-01-12T00:00:00"/>
    <d v="1899-12-30T10:47:12"/>
    <x v="2"/>
    <n v="2141"/>
    <x v="1"/>
    <x v="1"/>
    <x v="0"/>
    <x v="0"/>
  </r>
  <r>
    <s v="T1044"/>
    <d v="2026-01-15T00:00:00"/>
    <d v="1899-12-30T10:47:12"/>
    <x v="4"/>
    <n v="2924"/>
    <x v="1"/>
    <x v="1"/>
    <x v="2"/>
    <x v="0"/>
  </r>
  <r>
    <s v="T1045"/>
    <d v="2026-02-06T00:00:00"/>
    <d v="1899-12-30T10:47:12"/>
    <x v="4"/>
    <n v="2712"/>
    <x v="1"/>
    <x v="1"/>
    <x v="0"/>
    <x v="0"/>
  </r>
  <r>
    <s v="T1046"/>
    <d v="2026-01-18T00:00:00"/>
    <d v="1899-12-30T10:47:12"/>
    <x v="3"/>
    <n v="1463"/>
    <x v="1"/>
    <x v="1"/>
    <x v="4"/>
    <x v="0"/>
  </r>
  <r>
    <s v="T1047"/>
    <d v="2026-01-30T00:00:00"/>
    <d v="1899-12-30T10:47:12"/>
    <x v="4"/>
    <n v="1578"/>
    <x v="1"/>
    <x v="1"/>
    <x v="1"/>
    <x v="0"/>
  </r>
  <r>
    <s v="T1048"/>
    <d v="2026-01-20T00:00:00"/>
    <d v="1899-12-30T10:47:12"/>
    <x v="4"/>
    <n v="2656"/>
    <x v="2"/>
    <x v="1"/>
    <x v="1"/>
    <x v="0"/>
  </r>
  <r>
    <s v="T1049"/>
    <d v="2026-02-02T00:00:00"/>
    <d v="1899-12-30T10:47:12"/>
    <x v="4"/>
    <n v="875"/>
    <x v="1"/>
    <x v="1"/>
    <x v="3"/>
    <x v="0"/>
  </r>
  <r>
    <s v="T1050"/>
    <d v="2026-01-26T00:00:00"/>
    <d v="1899-12-30T10:47:12"/>
    <x v="0"/>
    <n v="4114"/>
    <x v="1"/>
    <x v="1"/>
    <x v="1"/>
    <x v="0"/>
  </r>
  <r>
    <s v="T1051"/>
    <d v="2026-01-22T00:00:00"/>
    <d v="1899-12-30T10:47:12"/>
    <x v="3"/>
    <n v="134"/>
    <x v="0"/>
    <x v="4"/>
    <x v="3"/>
    <x v="0"/>
  </r>
  <r>
    <s v="T1052"/>
    <d v="2026-01-29T00:00:00"/>
    <d v="1899-12-30T10:47:12"/>
    <x v="1"/>
    <n v="3252"/>
    <x v="1"/>
    <x v="1"/>
    <x v="2"/>
    <x v="0"/>
  </r>
  <r>
    <s v="T1053"/>
    <d v="2026-01-13T00:00:00"/>
    <d v="1899-12-30T10:47:12"/>
    <x v="2"/>
    <n v="2055"/>
    <x v="2"/>
    <x v="1"/>
    <x v="4"/>
    <x v="0"/>
  </r>
  <r>
    <s v="T1054"/>
    <d v="2026-01-23T00:00:00"/>
    <d v="1899-12-30T10:47:12"/>
    <x v="1"/>
    <n v="1685"/>
    <x v="2"/>
    <x v="1"/>
    <x v="3"/>
    <x v="0"/>
  </r>
  <r>
    <s v="T1055"/>
    <d v="2026-02-07T00:00:00"/>
    <d v="1899-12-30T10:47:12"/>
    <x v="3"/>
    <n v="4043"/>
    <x v="1"/>
    <x v="1"/>
    <x v="2"/>
    <x v="0"/>
  </r>
  <r>
    <s v="T1056"/>
    <d v="2026-01-14T00:00:00"/>
    <d v="1899-12-30T10:47:12"/>
    <x v="2"/>
    <n v="3173"/>
    <x v="1"/>
    <x v="1"/>
    <x v="1"/>
    <x v="0"/>
  </r>
  <r>
    <s v="T1057"/>
    <d v="2026-01-13T00:00:00"/>
    <d v="1899-12-30T10:47:12"/>
    <x v="3"/>
    <n v="1121"/>
    <x v="1"/>
    <x v="1"/>
    <x v="1"/>
    <x v="0"/>
  </r>
  <r>
    <s v="T1058"/>
    <d v="2026-01-23T00:00:00"/>
    <d v="1899-12-30T10:47:12"/>
    <x v="4"/>
    <n v="3561"/>
    <x v="1"/>
    <x v="1"/>
    <x v="2"/>
    <x v="0"/>
  </r>
  <r>
    <s v="T1059"/>
    <d v="2026-01-19T00:00:00"/>
    <d v="1899-12-30T10:47:12"/>
    <x v="2"/>
    <n v="2713"/>
    <x v="1"/>
    <x v="1"/>
    <x v="1"/>
    <x v="0"/>
  </r>
  <r>
    <s v="T1060"/>
    <d v="2026-01-13T00:00:00"/>
    <d v="1899-12-30T10:47:12"/>
    <x v="4"/>
    <n v="3943"/>
    <x v="1"/>
    <x v="1"/>
    <x v="2"/>
    <x v="0"/>
  </r>
  <r>
    <s v="T1061"/>
    <d v="2026-01-24T00:00:00"/>
    <d v="1899-12-30T10:47:12"/>
    <x v="1"/>
    <n v="1600"/>
    <x v="1"/>
    <x v="1"/>
    <x v="3"/>
    <x v="0"/>
  </r>
  <r>
    <s v="T1062"/>
    <d v="2026-01-12T00:00:00"/>
    <d v="1899-12-30T10:47:12"/>
    <x v="1"/>
    <n v="4898"/>
    <x v="1"/>
    <x v="1"/>
    <x v="3"/>
    <x v="0"/>
  </r>
  <r>
    <s v="T1063"/>
    <d v="2026-02-04T00:00:00"/>
    <d v="1899-12-30T10:47:12"/>
    <x v="2"/>
    <n v="261"/>
    <x v="1"/>
    <x v="1"/>
    <x v="2"/>
    <x v="0"/>
  </r>
  <r>
    <s v="T1064"/>
    <d v="2026-01-23T00:00:00"/>
    <d v="1899-12-30T10:47:12"/>
    <x v="2"/>
    <n v="4397"/>
    <x v="2"/>
    <x v="1"/>
    <x v="3"/>
    <x v="0"/>
  </r>
  <r>
    <s v="T1065"/>
    <d v="2026-01-24T00:00:00"/>
    <d v="1899-12-30T10:47:12"/>
    <x v="3"/>
    <n v="2081"/>
    <x v="1"/>
    <x v="1"/>
    <x v="3"/>
    <x v="0"/>
  </r>
  <r>
    <s v="T1066"/>
    <d v="2026-02-02T00:00:00"/>
    <d v="1899-12-30T10:47:12"/>
    <x v="3"/>
    <n v="1095"/>
    <x v="1"/>
    <x v="1"/>
    <x v="3"/>
    <x v="0"/>
  </r>
  <r>
    <s v="T1067"/>
    <d v="2026-01-25T00:00:00"/>
    <d v="1899-12-30T10:47:12"/>
    <x v="4"/>
    <n v="3442"/>
    <x v="1"/>
    <x v="1"/>
    <x v="0"/>
    <x v="0"/>
  </r>
  <r>
    <s v="T1068"/>
    <d v="2026-01-16T00:00:00"/>
    <d v="1899-12-30T10:47:12"/>
    <x v="2"/>
    <n v="4651"/>
    <x v="2"/>
    <x v="1"/>
    <x v="4"/>
    <x v="0"/>
  </r>
  <r>
    <s v="T1069"/>
    <d v="2026-01-25T00:00:00"/>
    <d v="1899-12-30T10:47:12"/>
    <x v="1"/>
    <n v="3898"/>
    <x v="1"/>
    <x v="1"/>
    <x v="1"/>
    <x v="0"/>
  </r>
  <r>
    <s v="T1070"/>
    <d v="2026-01-19T00:00:00"/>
    <d v="1899-12-30T10:47:12"/>
    <x v="3"/>
    <n v="1375"/>
    <x v="1"/>
    <x v="1"/>
    <x v="0"/>
    <x v="0"/>
  </r>
  <r>
    <s v="T1071"/>
    <d v="2026-01-26T00:00:00"/>
    <d v="1899-12-30T10:47:12"/>
    <x v="3"/>
    <n v="1116"/>
    <x v="0"/>
    <x v="2"/>
    <x v="3"/>
    <x v="0"/>
  </r>
  <r>
    <s v="T1072"/>
    <d v="2026-01-21T00:00:00"/>
    <d v="1899-12-30T10:47:12"/>
    <x v="1"/>
    <n v="437"/>
    <x v="1"/>
    <x v="1"/>
    <x v="2"/>
    <x v="0"/>
  </r>
  <r>
    <s v="T1073"/>
    <d v="2026-01-21T00:00:00"/>
    <d v="1899-12-30T10:47:12"/>
    <x v="3"/>
    <n v="978"/>
    <x v="0"/>
    <x v="4"/>
    <x v="3"/>
    <x v="0"/>
  </r>
  <r>
    <s v="T1074"/>
    <d v="2026-02-08T00:00:00"/>
    <d v="1899-12-30T10:47:12"/>
    <x v="4"/>
    <n v="1176"/>
    <x v="1"/>
    <x v="1"/>
    <x v="4"/>
    <x v="0"/>
  </r>
  <r>
    <s v="T1075"/>
    <d v="2026-02-03T00:00:00"/>
    <d v="1899-12-30T10:47:12"/>
    <x v="2"/>
    <n v="4987"/>
    <x v="1"/>
    <x v="1"/>
    <x v="3"/>
    <x v="0"/>
  </r>
  <r>
    <s v="T1076"/>
    <d v="2026-01-13T00:00:00"/>
    <d v="1899-12-30T10:47:12"/>
    <x v="1"/>
    <n v="4093"/>
    <x v="1"/>
    <x v="1"/>
    <x v="2"/>
    <x v="0"/>
  </r>
  <r>
    <s v="T1077"/>
    <d v="2026-02-05T00:00:00"/>
    <d v="1899-12-30T10:47:12"/>
    <x v="2"/>
    <n v="4959"/>
    <x v="1"/>
    <x v="1"/>
    <x v="4"/>
    <x v="0"/>
  </r>
  <r>
    <s v="T1078"/>
    <d v="2026-01-27T00:00:00"/>
    <d v="1899-12-30T10:47:12"/>
    <x v="3"/>
    <n v="479"/>
    <x v="1"/>
    <x v="1"/>
    <x v="3"/>
    <x v="0"/>
  </r>
  <r>
    <s v="T1079"/>
    <d v="2026-01-22T00:00:00"/>
    <d v="1899-12-30T10:47:12"/>
    <x v="3"/>
    <n v="592"/>
    <x v="0"/>
    <x v="0"/>
    <x v="4"/>
    <x v="0"/>
  </r>
  <r>
    <s v="T1080"/>
    <d v="2026-01-21T00:00:00"/>
    <d v="1899-12-30T10:47:12"/>
    <x v="1"/>
    <n v="2162"/>
    <x v="1"/>
    <x v="1"/>
    <x v="1"/>
    <x v="0"/>
  </r>
  <r>
    <s v="T1081"/>
    <d v="2026-02-04T00:00:00"/>
    <d v="1899-12-30T10:47:12"/>
    <x v="4"/>
    <n v="3984"/>
    <x v="1"/>
    <x v="1"/>
    <x v="1"/>
    <x v="0"/>
  </r>
  <r>
    <s v="T1082"/>
    <d v="2026-01-20T00:00:00"/>
    <d v="1899-12-30T10:47:12"/>
    <x v="0"/>
    <n v="164"/>
    <x v="1"/>
    <x v="1"/>
    <x v="3"/>
    <x v="0"/>
  </r>
  <r>
    <s v="T1083"/>
    <d v="2026-01-25T00:00:00"/>
    <d v="1899-12-30T10:47:12"/>
    <x v="1"/>
    <n v="2668"/>
    <x v="1"/>
    <x v="1"/>
    <x v="4"/>
    <x v="0"/>
  </r>
  <r>
    <s v="T1084"/>
    <d v="2026-02-03T00:00:00"/>
    <d v="1899-12-30T10:47:12"/>
    <x v="0"/>
    <n v="2127"/>
    <x v="1"/>
    <x v="1"/>
    <x v="2"/>
    <x v="0"/>
  </r>
  <r>
    <s v="T1085"/>
    <d v="2026-01-26T00:00:00"/>
    <d v="1899-12-30T10:47:12"/>
    <x v="0"/>
    <n v="2795"/>
    <x v="1"/>
    <x v="1"/>
    <x v="3"/>
    <x v="0"/>
  </r>
  <r>
    <s v="T1086"/>
    <d v="2026-02-08T00:00:00"/>
    <d v="1899-12-30T10:47:12"/>
    <x v="4"/>
    <n v="1595"/>
    <x v="1"/>
    <x v="1"/>
    <x v="1"/>
    <x v="0"/>
  </r>
  <r>
    <s v="T1087"/>
    <d v="2026-01-15T00:00:00"/>
    <d v="1899-12-30T10:47:12"/>
    <x v="0"/>
    <n v="491"/>
    <x v="1"/>
    <x v="1"/>
    <x v="1"/>
    <x v="0"/>
  </r>
  <r>
    <s v="T1088"/>
    <d v="2026-01-29T00:00:00"/>
    <d v="1899-12-30T10:47:12"/>
    <x v="0"/>
    <n v="4614"/>
    <x v="1"/>
    <x v="1"/>
    <x v="3"/>
    <x v="0"/>
  </r>
  <r>
    <s v="T1089"/>
    <d v="2026-01-25T00:00:00"/>
    <d v="1899-12-30T10:47:12"/>
    <x v="4"/>
    <n v="4574"/>
    <x v="1"/>
    <x v="1"/>
    <x v="4"/>
    <x v="0"/>
  </r>
  <r>
    <s v="T1090"/>
    <d v="2026-01-17T00:00:00"/>
    <d v="1899-12-30T10:47:12"/>
    <x v="0"/>
    <n v="3661"/>
    <x v="1"/>
    <x v="1"/>
    <x v="1"/>
    <x v="0"/>
  </r>
  <r>
    <s v="T1091"/>
    <d v="2026-01-26T00:00:00"/>
    <d v="1899-12-30T10:47:12"/>
    <x v="0"/>
    <n v="2378"/>
    <x v="1"/>
    <x v="1"/>
    <x v="4"/>
    <x v="0"/>
  </r>
  <r>
    <s v="T1092"/>
    <d v="2026-01-19T00:00:00"/>
    <d v="1899-12-30T10:47:12"/>
    <x v="0"/>
    <n v="3199"/>
    <x v="2"/>
    <x v="1"/>
    <x v="1"/>
    <x v="0"/>
  </r>
  <r>
    <s v="T1093"/>
    <d v="2026-01-28T00:00:00"/>
    <d v="1899-12-30T10:47:12"/>
    <x v="1"/>
    <n v="300"/>
    <x v="1"/>
    <x v="1"/>
    <x v="1"/>
    <x v="0"/>
  </r>
  <r>
    <s v="T1094"/>
    <d v="2026-01-12T00:00:00"/>
    <d v="1899-12-30T10:47:12"/>
    <x v="1"/>
    <n v="4975"/>
    <x v="1"/>
    <x v="1"/>
    <x v="0"/>
    <x v="0"/>
  </r>
  <r>
    <s v="T1095"/>
    <d v="2026-02-06T00:00:00"/>
    <d v="1899-12-30T10:47:12"/>
    <x v="1"/>
    <n v="3204"/>
    <x v="1"/>
    <x v="1"/>
    <x v="1"/>
    <x v="0"/>
  </r>
  <r>
    <s v="T1096"/>
    <d v="2026-01-19T00:00:00"/>
    <d v="1899-12-30T10:47:12"/>
    <x v="4"/>
    <n v="4698"/>
    <x v="2"/>
    <x v="1"/>
    <x v="2"/>
    <x v="0"/>
  </r>
  <r>
    <s v="T1097"/>
    <d v="2026-01-28T00:00:00"/>
    <d v="1899-12-30T10:47:12"/>
    <x v="3"/>
    <n v="2554"/>
    <x v="0"/>
    <x v="2"/>
    <x v="3"/>
    <x v="0"/>
  </r>
  <r>
    <s v="T1098"/>
    <d v="2026-01-13T00:00:00"/>
    <d v="1899-12-30T10:47:12"/>
    <x v="0"/>
    <n v="3745"/>
    <x v="1"/>
    <x v="1"/>
    <x v="3"/>
    <x v="0"/>
  </r>
  <r>
    <s v="T1099"/>
    <d v="2026-01-25T00:00:00"/>
    <d v="1899-12-30T10:47:12"/>
    <x v="0"/>
    <n v="904"/>
    <x v="1"/>
    <x v="1"/>
    <x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1000"/>
    <d v="2026-01-25T00:00:00"/>
    <d v="1899-12-30T10:47:12"/>
    <s v="Credit Card"/>
    <n v="960"/>
    <x v="0"/>
    <x v="0"/>
    <s v="M003"/>
    <x v="0"/>
  </r>
  <r>
    <s v="T1001"/>
    <d v="2026-01-13T00:00:00"/>
    <d v="1899-12-30T10:47:12"/>
    <s v="UPI"/>
    <n v="3872"/>
    <x v="1"/>
    <x v="1"/>
    <s v="M002"/>
    <x v="0"/>
  </r>
  <r>
    <s v="T1002"/>
    <d v="2026-01-31T00:00:00"/>
    <d v="1899-12-30T10:47:12"/>
    <s v="Net Banking"/>
    <n v="3192"/>
    <x v="0"/>
    <x v="2"/>
    <s v="M001"/>
    <x v="0"/>
  </r>
  <r>
    <s v="T1003"/>
    <d v="2026-01-27T00:00:00"/>
    <d v="1899-12-30T10:47:12"/>
    <s v="Net Banking"/>
    <n v="566"/>
    <x v="1"/>
    <x v="1"/>
    <s v="M005"/>
    <x v="0"/>
  </r>
  <r>
    <s v="T1004"/>
    <d v="2026-01-29T00:00:00"/>
    <d v="1899-12-30T10:47:12"/>
    <s v="UPI"/>
    <n v="4526"/>
    <x v="1"/>
    <x v="1"/>
    <s v="M004"/>
    <x v="0"/>
  </r>
  <r>
    <s v="T1005"/>
    <d v="2026-01-27T00:00:00"/>
    <d v="1899-12-30T10:47:12"/>
    <s v="Credit Card"/>
    <n v="3544"/>
    <x v="0"/>
    <x v="3"/>
    <s v="M002"/>
    <x v="0"/>
  </r>
  <r>
    <s v="T1006"/>
    <d v="2026-01-13T00:00:00"/>
    <d v="1899-12-30T10:47:12"/>
    <s v="UPI"/>
    <n v="3271"/>
    <x v="0"/>
    <x v="4"/>
    <s v="M001"/>
    <x v="0"/>
  </r>
  <r>
    <s v="T1007"/>
    <d v="2026-02-08T00:00:00"/>
    <d v="1899-12-30T10:47:12"/>
    <s v="Net Banking"/>
    <n v="3019"/>
    <x v="1"/>
    <x v="1"/>
    <s v="M004"/>
    <x v="0"/>
  </r>
  <r>
    <s v="T1008"/>
    <d v="2026-02-07T00:00:00"/>
    <d v="1899-12-30T10:47:12"/>
    <s v="Wallet"/>
    <n v="230"/>
    <x v="0"/>
    <x v="4"/>
    <s v="M005"/>
    <x v="0"/>
  </r>
  <r>
    <s v="T1009"/>
    <d v="2026-02-08T00:00:00"/>
    <d v="1899-12-30T10:47:12"/>
    <s v="Wallet"/>
    <n v="1785"/>
    <x v="1"/>
    <x v="1"/>
    <s v="M004"/>
    <x v="0"/>
  </r>
  <r>
    <s v="T1010"/>
    <d v="2026-02-03T00:00:00"/>
    <d v="1899-12-30T10:47:12"/>
    <s v="Debit Card"/>
    <n v="869"/>
    <x v="1"/>
    <x v="1"/>
    <s v="M001"/>
    <x v="0"/>
  </r>
  <r>
    <s v="T1011"/>
    <d v="2026-02-04T00:00:00"/>
    <d v="1899-12-30T10:47:12"/>
    <s v="UPI"/>
    <n v="2491"/>
    <x v="1"/>
    <x v="1"/>
    <s v="M004"/>
    <x v="0"/>
  </r>
  <r>
    <s v="T1012"/>
    <d v="2026-02-08T00:00:00"/>
    <d v="1899-12-30T10:47:12"/>
    <s v="UPI"/>
    <n v="2533"/>
    <x v="1"/>
    <x v="1"/>
    <s v="M003"/>
    <x v="0"/>
  </r>
  <r>
    <s v="T1013"/>
    <d v="2026-01-13T00:00:00"/>
    <d v="1899-12-30T10:47:12"/>
    <s v="Debit Card"/>
    <n v="1284"/>
    <x v="1"/>
    <x v="1"/>
    <s v="M004"/>
    <x v="0"/>
  </r>
  <r>
    <s v="T1014"/>
    <d v="2026-02-08T00:00:00"/>
    <d v="1899-12-30T10:47:12"/>
    <s v="Debit Card"/>
    <n v="4655"/>
    <x v="1"/>
    <x v="1"/>
    <s v="M002"/>
    <x v="0"/>
  </r>
  <r>
    <s v="T1015"/>
    <d v="2026-01-24T00:00:00"/>
    <d v="1899-12-30T10:47:12"/>
    <s v="Debit Card"/>
    <n v="3485"/>
    <x v="1"/>
    <x v="1"/>
    <s v="M002"/>
    <x v="0"/>
  </r>
  <r>
    <s v="T1016"/>
    <d v="2026-02-04T00:00:00"/>
    <d v="1899-12-30T10:47:12"/>
    <s v="Net Banking"/>
    <n v="4217"/>
    <x v="1"/>
    <x v="1"/>
    <s v="M003"/>
    <x v="0"/>
  </r>
  <r>
    <s v="T1017"/>
    <d v="2026-01-26T00:00:00"/>
    <d v="1899-12-30T10:47:12"/>
    <s v="UPI"/>
    <n v="4943"/>
    <x v="1"/>
    <x v="1"/>
    <s v="M001"/>
    <x v="0"/>
  </r>
  <r>
    <s v="T1018"/>
    <d v="2026-01-26T00:00:00"/>
    <d v="1899-12-30T10:47:12"/>
    <s v="Net Banking"/>
    <n v="3004"/>
    <x v="2"/>
    <x v="1"/>
    <s v="M002"/>
    <x v="0"/>
  </r>
  <r>
    <s v="T1019"/>
    <d v="2026-02-02T00:00:00"/>
    <d v="1899-12-30T10:47:12"/>
    <s v="Debit Card"/>
    <n v="574"/>
    <x v="1"/>
    <x v="1"/>
    <s v="M005"/>
    <x v="0"/>
  </r>
  <r>
    <s v="T1020"/>
    <d v="2026-02-07T00:00:00"/>
    <d v="1899-12-30T10:47:12"/>
    <s v="UPI"/>
    <n v="1182"/>
    <x v="1"/>
    <x v="1"/>
    <s v="M002"/>
    <x v="0"/>
  </r>
  <r>
    <s v="T1021"/>
    <d v="2026-01-27T00:00:00"/>
    <d v="1899-12-30T10:47:12"/>
    <s v="Net Banking"/>
    <n v="2658"/>
    <x v="0"/>
    <x v="0"/>
    <s v="M002"/>
    <x v="0"/>
  </r>
  <r>
    <s v="T1022"/>
    <d v="2026-01-31T00:00:00"/>
    <d v="1899-12-30T10:47:12"/>
    <s v="Net Banking"/>
    <n v="2147"/>
    <x v="1"/>
    <x v="1"/>
    <s v="M001"/>
    <x v="0"/>
  </r>
  <r>
    <s v="T1023"/>
    <d v="2026-02-07T00:00:00"/>
    <d v="1899-12-30T10:47:12"/>
    <s v="Debit Card"/>
    <n v="2847"/>
    <x v="1"/>
    <x v="1"/>
    <s v="M004"/>
    <x v="0"/>
  </r>
  <r>
    <s v="T1024"/>
    <d v="2026-01-27T00:00:00"/>
    <d v="1899-12-30T10:47:12"/>
    <s v="UPI"/>
    <n v="1075"/>
    <x v="1"/>
    <x v="1"/>
    <s v="M002"/>
    <x v="0"/>
  </r>
  <r>
    <s v="T1025"/>
    <d v="2026-01-13T00:00:00"/>
    <d v="1899-12-30T10:47:12"/>
    <s v="Debit Card"/>
    <n v="1906"/>
    <x v="1"/>
    <x v="1"/>
    <s v="M003"/>
    <x v="0"/>
  </r>
  <r>
    <s v="T1026"/>
    <d v="2026-01-11T00:00:00"/>
    <d v="1899-12-30T10:47:12"/>
    <s v="UPI"/>
    <n v="289"/>
    <x v="2"/>
    <x v="1"/>
    <s v="M004"/>
    <x v="0"/>
  </r>
  <r>
    <s v="T1027"/>
    <d v="2026-01-10T00:00:00"/>
    <d v="1899-12-30T10:47:12"/>
    <s v="Wallet"/>
    <n v="2834"/>
    <x v="0"/>
    <x v="0"/>
    <s v="M005"/>
    <x v="0"/>
  </r>
  <r>
    <s v="T1028"/>
    <d v="2026-01-26T00:00:00"/>
    <d v="1899-12-30T10:47:12"/>
    <s v="Credit Card"/>
    <n v="3105"/>
    <x v="1"/>
    <x v="1"/>
    <s v="M001"/>
    <x v="0"/>
  </r>
  <r>
    <s v="T1029"/>
    <d v="2026-01-18T00:00:00"/>
    <d v="1899-12-30T10:47:12"/>
    <s v="Credit Card"/>
    <n v="4758"/>
    <x v="0"/>
    <x v="2"/>
    <s v="M005"/>
    <x v="0"/>
  </r>
  <r>
    <s v="T1030"/>
    <d v="2026-02-07T00:00:00"/>
    <d v="1899-12-30T10:47:12"/>
    <s v="Credit Card"/>
    <n v="1999"/>
    <x v="0"/>
    <x v="3"/>
    <s v="M004"/>
    <x v="0"/>
  </r>
  <r>
    <s v="T1031"/>
    <d v="2026-01-11T00:00:00"/>
    <d v="1899-12-30T10:47:12"/>
    <s v="Debit Card"/>
    <n v="1367"/>
    <x v="1"/>
    <x v="1"/>
    <s v="M004"/>
    <x v="0"/>
  </r>
  <r>
    <s v="T1032"/>
    <d v="2026-02-08T00:00:00"/>
    <d v="1899-12-30T10:47:12"/>
    <s v="Wallet"/>
    <n v="1628"/>
    <x v="0"/>
    <x v="2"/>
    <s v="M004"/>
    <x v="0"/>
  </r>
  <r>
    <s v="T1033"/>
    <d v="2026-02-03T00:00:00"/>
    <d v="1899-12-30T10:47:12"/>
    <s v="UPI"/>
    <n v="3302"/>
    <x v="1"/>
    <x v="1"/>
    <s v="M005"/>
    <x v="0"/>
  </r>
  <r>
    <s v="T1034"/>
    <d v="2026-01-30T00:00:00"/>
    <d v="1899-12-30T10:47:12"/>
    <s v="Net Banking"/>
    <n v="3656"/>
    <x v="0"/>
    <x v="2"/>
    <s v="M004"/>
    <x v="0"/>
  </r>
  <r>
    <s v="T1035"/>
    <d v="2026-02-07T00:00:00"/>
    <d v="1899-12-30T10:47:12"/>
    <s v="UPI"/>
    <n v="3990"/>
    <x v="0"/>
    <x v="2"/>
    <s v="M005"/>
    <x v="0"/>
  </r>
  <r>
    <s v="T1036"/>
    <d v="2026-02-05T00:00:00"/>
    <d v="1899-12-30T10:47:12"/>
    <s v="Net Banking"/>
    <n v="746"/>
    <x v="1"/>
    <x v="1"/>
    <s v="M004"/>
    <x v="0"/>
  </r>
  <r>
    <s v="T1037"/>
    <d v="2026-01-15T00:00:00"/>
    <d v="1899-12-30T10:47:12"/>
    <s v="UPI"/>
    <n v="2988"/>
    <x v="1"/>
    <x v="1"/>
    <s v="M003"/>
    <x v="0"/>
  </r>
  <r>
    <s v="T1038"/>
    <d v="2026-01-14T00:00:00"/>
    <d v="1899-12-30T10:47:12"/>
    <s v="Wallet"/>
    <n v="2535"/>
    <x v="1"/>
    <x v="1"/>
    <s v="M004"/>
    <x v="0"/>
  </r>
  <r>
    <s v="T1039"/>
    <d v="2026-01-18T00:00:00"/>
    <d v="1899-12-30T10:47:12"/>
    <s v="Net Banking"/>
    <n v="700"/>
    <x v="1"/>
    <x v="1"/>
    <s v="M005"/>
    <x v="0"/>
  </r>
  <r>
    <s v="T1040"/>
    <d v="2026-01-27T00:00:00"/>
    <d v="1899-12-30T10:47:12"/>
    <s v="Debit Card"/>
    <n v="2463"/>
    <x v="0"/>
    <x v="4"/>
    <s v="M002"/>
    <x v="0"/>
  </r>
  <r>
    <s v="T1041"/>
    <d v="2026-01-26T00:00:00"/>
    <d v="1899-12-30T10:47:12"/>
    <s v="UPI"/>
    <n v="2161"/>
    <x v="0"/>
    <x v="3"/>
    <s v="M004"/>
    <x v="0"/>
  </r>
  <r>
    <s v="T1042"/>
    <d v="2026-01-15T00:00:00"/>
    <d v="1899-12-30T10:47:12"/>
    <s v="UPI"/>
    <n v="341"/>
    <x v="1"/>
    <x v="1"/>
    <s v="M002"/>
    <x v="0"/>
  </r>
  <r>
    <s v="T1043"/>
    <d v="2026-01-12T00:00:00"/>
    <d v="1899-12-30T10:47:12"/>
    <s v="Net Banking"/>
    <n v="2141"/>
    <x v="1"/>
    <x v="1"/>
    <s v="M003"/>
    <x v="0"/>
  </r>
  <r>
    <s v="T1044"/>
    <d v="2026-01-15T00:00:00"/>
    <d v="1899-12-30T10:47:12"/>
    <s v="Debit Card"/>
    <n v="2924"/>
    <x v="1"/>
    <x v="1"/>
    <s v="M001"/>
    <x v="0"/>
  </r>
  <r>
    <s v="T1045"/>
    <d v="2026-02-06T00:00:00"/>
    <d v="1899-12-30T10:47:12"/>
    <s v="Debit Card"/>
    <n v="2712"/>
    <x v="1"/>
    <x v="1"/>
    <s v="M003"/>
    <x v="0"/>
  </r>
  <r>
    <s v="T1046"/>
    <d v="2026-01-18T00:00:00"/>
    <d v="1899-12-30T10:47:12"/>
    <s v="Wallet"/>
    <n v="1463"/>
    <x v="1"/>
    <x v="1"/>
    <s v="M004"/>
    <x v="0"/>
  </r>
  <r>
    <s v="T1047"/>
    <d v="2026-01-30T00:00:00"/>
    <d v="1899-12-30T10:47:12"/>
    <s v="Debit Card"/>
    <n v="1578"/>
    <x v="1"/>
    <x v="1"/>
    <s v="M002"/>
    <x v="0"/>
  </r>
  <r>
    <s v="T1048"/>
    <d v="2026-01-20T00:00:00"/>
    <d v="1899-12-30T10:47:12"/>
    <s v="Debit Card"/>
    <n v="2656"/>
    <x v="2"/>
    <x v="1"/>
    <s v="M002"/>
    <x v="0"/>
  </r>
  <r>
    <s v="T1049"/>
    <d v="2026-02-02T00:00:00"/>
    <d v="1899-12-30T10:47:12"/>
    <s v="Debit Card"/>
    <n v="875"/>
    <x v="1"/>
    <x v="1"/>
    <s v="M005"/>
    <x v="0"/>
  </r>
  <r>
    <s v="T1050"/>
    <d v="2026-01-26T00:00:00"/>
    <d v="1899-12-30T10:47:12"/>
    <s v="Credit Card"/>
    <n v="4114"/>
    <x v="1"/>
    <x v="1"/>
    <s v="M002"/>
    <x v="0"/>
  </r>
  <r>
    <s v="T1051"/>
    <d v="2026-01-22T00:00:00"/>
    <d v="1899-12-30T10:47:12"/>
    <s v="Wallet"/>
    <n v="134"/>
    <x v="0"/>
    <x v="4"/>
    <s v="M005"/>
    <x v="0"/>
  </r>
  <r>
    <s v="T1052"/>
    <d v="2026-01-29T00:00:00"/>
    <d v="1899-12-30T10:47:12"/>
    <s v="UPI"/>
    <n v="3252"/>
    <x v="1"/>
    <x v="1"/>
    <s v="M001"/>
    <x v="0"/>
  </r>
  <r>
    <s v="T1053"/>
    <d v="2026-01-13T00:00:00"/>
    <d v="1899-12-30T10:47:12"/>
    <s v="Net Banking"/>
    <n v="2055"/>
    <x v="2"/>
    <x v="1"/>
    <s v="M004"/>
    <x v="0"/>
  </r>
  <r>
    <s v="T1054"/>
    <d v="2026-01-23T00:00:00"/>
    <d v="1899-12-30T10:47:12"/>
    <s v="UPI"/>
    <n v="1685"/>
    <x v="2"/>
    <x v="1"/>
    <s v="M005"/>
    <x v="0"/>
  </r>
  <r>
    <s v="T1055"/>
    <d v="2026-02-07T00:00:00"/>
    <d v="1899-12-30T10:47:12"/>
    <s v="Wallet"/>
    <n v="4043"/>
    <x v="1"/>
    <x v="1"/>
    <s v="M001"/>
    <x v="0"/>
  </r>
  <r>
    <s v="T1056"/>
    <d v="2026-01-14T00:00:00"/>
    <d v="1899-12-30T10:47:12"/>
    <s v="Net Banking"/>
    <n v="3173"/>
    <x v="1"/>
    <x v="1"/>
    <s v="M002"/>
    <x v="0"/>
  </r>
  <r>
    <s v="T1057"/>
    <d v="2026-01-13T00:00:00"/>
    <d v="1899-12-30T10:47:12"/>
    <s v="Wallet"/>
    <n v="1121"/>
    <x v="1"/>
    <x v="1"/>
    <s v="M002"/>
    <x v="0"/>
  </r>
  <r>
    <s v="T1058"/>
    <d v="2026-01-23T00:00:00"/>
    <d v="1899-12-30T10:47:12"/>
    <s v="Debit Card"/>
    <n v="3561"/>
    <x v="1"/>
    <x v="1"/>
    <s v="M001"/>
    <x v="0"/>
  </r>
  <r>
    <s v="T1059"/>
    <d v="2026-01-19T00:00:00"/>
    <d v="1899-12-30T10:47:12"/>
    <s v="Net Banking"/>
    <n v="2713"/>
    <x v="1"/>
    <x v="1"/>
    <s v="M002"/>
    <x v="0"/>
  </r>
  <r>
    <s v="T1060"/>
    <d v="2026-01-13T00:00:00"/>
    <d v="1899-12-30T10:47:12"/>
    <s v="Debit Card"/>
    <n v="3943"/>
    <x v="1"/>
    <x v="1"/>
    <s v="M001"/>
    <x v="0"/>
  </r>
  <r>
    <s v="T1061"/>
    <d v="2026-01-24T00:00:00"/>
    <d v="1899-12-30T10:47:12"/>
    <s v="UPI"/>
    <n v="1600"/>
    <x v="1"/>
    <x v="1"/>
    <s v="M005"/>
    <x v="0"/>
  </r>
  <r>
    <s v="T1062"/>
    <d v="2026-01-12T00:00:00"/>
    <d v="1899-12-30T10:47:12"/>
    <s v="UPI"/>
    <n v="4898"/>
    <x v="1"/>
    <x v="1"/>
    <s v="M005"/>
    <x v="0"/>
  </r>
  <r>
    <s v="T1063"/>
    <d v="2026-02-04T00:00:00"/>
    <d v="1899-12-30T10:47:12"/>
    <s v="Net Banking"/>
    <n v="261"/>
    <x v="1"/>
    <x v="1"/>
    <s v="M001"/>
    <x v="0"/>
  </r>
  <r>
    <s v="T1064"/>
    <d v="2026-01-23T00:00:00"/>
    <d v="1899-12-30T10:47:12"/>
    <s v="Net Banking"/>
    <n v="4397"/>
    <x v="2"/>
    <x v="1"/>
    <s v="M005"/>
    <x v="0"/>
  </r>
  <r>
    <s v="T1065"/>
    <d v="2026-01-24T00:00:00"/>
    <d v="1899-12-30T10:47:12"/>
    <s v="Wallet"/>
    <n v="2081"/>
    <x v="1"/>
    <x v="1"/>
    <s v="M005"/>
    <x v="0"/>
  </r>
  <r>
    <s v="T1066"/>
    <d v="2026-02-02T00:00:00"/>
    <d v="1899-12-30T10:47:12"/>
    <s v="Wallet"/>
    <n v="1095"/>
    <x v="1"/>
    <x v="1"/>
    <s v="M005"/>
    <x v="0"/>
  </r>
  <r>
    <s v="T1067"/>
    <d v="2026-01-25T00:00:00"/>
    <d v="1899-12-30T10:47:12"/>
    <s v="Debit Card"/>
    <n v="3442"/>
    <x v="1"/>
    <x v="1"/>
    <s v="M003"/>
    <x v="0"/>
  </r>
  <r>
    <s v="T1068"/>
    <d v="2026-01-16T00:00:00"/>
    <d v="1899-12-30T10:47:12"/>
    <s v="Net Banking"/>
    <n v="4651"/>
    <x v="2"/>
    <x v="1"/>
    <s v="M004"/>
    <x v="0"/>
  </r>
  <r>
    <s v="T1069"/>
    <d v="2026-01-25T00:00:00"/>
    <d v="1899-12-30T10:47:12"/>
    <s v="UPI"/>
    <n v="3898"/>
    <x v="1"/>
    <x v="1"/>
    <s v="M002"/>
    <x v="0"/>
  </r>
  <r>
    <s v="T1070"/>
    <d v="2026-01-19T00:00:00"/>
    <d v="1899-12-30T10:47:12"/>
    <s v="Wallet"/>
    <n v="1375"/>
    <x v="1"/>
    <x v="1"/>
    <s v="M003"/>
    <x v="0"/>
  </r>
  <r>
    <s v="T1071"/>
    <d v="2026-01-26T00:00:00"/>
    <d v="1899-12-30T10:47:12"/>
    <s v="Wallet"/>
    <n v="1116"/>
    <x v="0"/>
    <x v="2"/>
    <s v="M005"/>
    <x v="0"/>
  </r>
  <r>
    <s v="T1072"/>
    <d v="2026-01-21T00:00:00"/>
    <d v="1899-12-30T10:47:12"/>
    <s v="UPI"/>
    <n v="437"/>
    <x v="1"/>
    <x v="1"/>
    <s v="M001"/>
    <x v="0"/>
  </r>
  <r>
    <s v="T1073"/>
    <d v="2026-01-21T00:00:00"/>
    <d v="1899-12-30T10:47:12"/>
    <s v="Wallet"/>
    <n v="978"/>
    <x v="0"/>
    <x v="4"/>
    <s v="M005"/>
    <x v="0"/>
  </r>
  <r>
    <s v="T1074"/>
    <d v="2026-02-08T00:00:00"/>
    <d v="1899-12-30T10:47:12"/>
    <s v="Debit Card"/>
    <n v="1176"/>
    <x v="1"/>
    <x v="1"/>
    <s v="M004"/>
    <x v="0"/>
  </r>
  <r>
    <s v="T1075"/>
    <d v="2026-02-03T00:00:00"/>
    <d v="1899-12-30T10:47:12"/>
    <s v="Net Banking"/>
    <n v="4987"/>
    <x v="1"/>
    <x v="1"/>
    <s v="M005"/>
    <x v="0"/>
  </r>
  <r>
    <s v="T1076"/>
    <d v="2026-01-13T00:00:00"/>
    <d v="1899-12-30T10:47:12"/>
    <s v="UPI"/>
    <n v="4093"/>
    <x v="1"/>
    <x v="1"/>
    <s v="M001"/>
    <x v="0"/>
  </r>
  <r>
    <s v="T1077"/>
    <d v="2026-02-05T00:00:00"/>
    <d v="1899-12-30T10:47:12"/>
    <s v="Net Banking"/>
    <n v="4959"/>
    <x v="1"/>
    <x v="1"/>
    <s v="M004"/>
    <x v="0"/>
  </r>
  <r>
    <s v="T1078"/>
    <d v="2026-01-27T00:00:00"/>
    <d v="1899-12-30T10:47:12"/>
    <s v="Wallet"/>
    <n v="479"/>
    <x v="1"/>
    <x v="1"/>
    <s v="M005"/>
    <x v="0"/>
  </r>
  <r>
    <s v="T1079"/>
    <d v="2026-01-22T00:00:00"/>
    <d v="1899-12-30T10:47:12"/>
    <s v="Wallet"/>
    <n v="592"/>
    <x v="0"/>
    <x v="0"/>
    <s v="M004"/>
    <x v="0"/>
  </r>
  <r>
    <s v="T1080"/>
    <d v="2026-01-21T00:00:00"/>
    <d v="1899-12-30T10:47:12"/>
    <s v="UPI"/>
    <n v="2162"/>
    <x v="1"/>
    <x v="1"/>
    <s v="M002"/>
    <x v="0"/>
  </r>
  <r>
    <s v="T1081"/>
    <d v="2026-02-04T00:00:00"/>
    <d v="1899-12-30T10:47:12"/>
    <s v="Debit Card"/>
    <n v="3984"/>
    <x v="1"/>
    <x v="1"/>
    <s v="M002"/>
    <x v="0"/>
  </r>
  <r>
    <s v="T1082"/>
    <d v="2026-01-20T00:00:00"/>
    <d v="1899-12-30T10:47:12"/>
    <s v="Credit Card"/>
    <n v="164"/>
    <x v="1"/>
    <x v="1"/>
    <s v="M005"/>
    <x v="0"/>
  </r>
  <r>
    <s v="T1083"/>
    <d v="2026-01-25T00:00:00"/>
    <d v="1899-12-30T10:47:12"/>
    <s v="UPI"/>
    <n v="2668"/>
    <x v="1"/>
    <x v="1"/>
    <s v="M004"/>
    <x v="0"/>
  </r>
  <r>
    <s v="T1084"/>
    <d v="2026-02-03T00:00:00"/>
    <d v="1899-12-30T10:47:12"/>
    <s v="Credit Card"/>
    <n v="2127"/>
    <x v="1"/>
    <x v="1"/>
    <s v="M001"/>
    <x v="0"/>
  </r>
  <r>
    <s v="T1085"/>
    <d v="2026-01-26T00:00:00"/>
    <d v="1899-12-30T10:47:12"/>
    <s v="Credit Card"/>
    <n v="2795"/>
    <x v="1"/>
    <x v="1"/>
    <s v="M005"/>
    <x v="0"/>
  </r>
  <r>
    <s v="T1086"/>
    <d v="2026-02-08T00:00:00"/>
    <d v="1899-12-30T10:47:12"/>
    <s v="Debit Card"/>
    <n v="1595"/>
    <x v="1"/>
    <x v="1"/>
    <s v="M002"/>
    <x v="0"/>
  </r>
  <r>
    <s v="T1087"/>
    <d v="2026-01-15T00:00:00"/>
    <d v="1899-12-30T10:47:12"/>
    <s v="Credit Card"/>
    <n v="491"/>
    <x v="1"/>
    <x v="1"/>
    <s v="M002"/>
    <x v="0"/>
  </r>
  <r>
    <s v="T1088"/>
    <d v="2026-01-29T00:00:00"/>
    <d v="1899-12-30T10:47:12"/>
    <s v="Credit Card"/>
    <n v="4614"/>
    <x v="1"/>
    <x v="1"/>
    <s v="M005"/>
    <x v="0"/>
  </r>
  <r>
    <s v="T1089"/>
    <d v="2026-01-25T00:00:00"/>
    <d v="1899-12-30T10:47:12"/>
    <s v="Debit Card"/>
    <n v="4574"/>
    <x v="1"/>
    <x v="1"/>
    <s v="M004"/>
    <x v="0"/>
  </r>
  <r>
    <s v="T1090"/>
    <d v="2026-01-17T00:00:00"/>
    <d v="1899-12-30T10:47:12"/>
    <s v="Credit Card"/>
    <n v="3661"/>
    <x v="1"/>
    <x v="1"/>
    <s v="M002"/>
    <x v="0"/>
  </r>
  <r>
    <s v="T1091"/>
    <d v="2026-01-26T00:00:00"/>
    <d v="1899-12-30T10:47:12"/>
    <s v="Credit Card"/>
    <n v="2378"/>
    <x v="1"/>
    <x v="1"/>
    <s v="M004"/>
    <x v="0"/>
  </r>
  <r>
    <s v="T1092"/>
    <d v="2026-01-19T00:00:00"/>
    <d v="1899-12-30T10:47:12"/>
    <s v="Credit Card"/>
    <n v="3199"/>
    <x v="2"/>
    <x v="1"/>
    <s v="M002"/>
    <x v="0"/>
  </r>
  <r>
    <s v="T1093"/>
    <d v="2026-01-28T00:00:00"/>
    <d v="1899-12-30T10:47:12"/>
    <s v="UPI"/>
    <n v="300"/>
    <x v="1"/>
    <x v="1"/>
    <s v="M002"/>
    <x v="0"/>
  </r>
  <r>
    <s v="T1094"/>
    <d v="2026-01-12T00:00:00"/>
    <d v="1899-12-30T10:47:12"/>
    <s v="UPI"/>
    <n v="4975"/>
    <x v="1"/>
    <x v="1"/>
    <s v="M003"/>
    <x v="0"/>
  </r>
  <r>
    <s v="T1095"/>
    <d v="2026-02-06T00:00:00"/>
    <d v="1899-12-30T10:47:12"/>
    <s v="UPI"/>
    <n v="3204"/>
    <x v="1"/>
    <x v="1"/>
    <s v="M002"/>
    <x v="0"/>
  </r>
  <r>
    <s v="T1096"/>
    <d v="2026-01-19T00:00:00"/>
    <d v="1899-12-30T10:47:12"/>
    <s v="Debit Card"/>
    <n v="4698"/>
    <x v="2"/>
    <x v="1"/>
    <s v="M001"/>
    <x v="0"/>
  </r>
  <r>
    <s v="T1097"/>
    <d v="2026-01-28T00:00:00"/>
    <d v="1899-12-30T10:47:12"/>
    <s v="Wallet"/>
    <n v="2554"/>
    <x v="0"/>
    <x v="2"/>
    <s v="M005"/>
    <x v="0"/>
  </r>
  <r>
    <s v="T1098"/>
    <d v="2026-01-13T00:00:00"/>
    <d v="1899-12-30T10:47:12"/>
    <s v="Credit Card"/>
    <n v="3745"/>
    <x v="1"/>
    <x v="1"/>
    <s v="M005"/>
    <x v="0"/>
  </r>
  <r>
    <s v="T1099"/>
    <d v="2026-01-25T00:00:00"/>
    <d v="1899-12-30T10:47:12"/>
    <s v="Credit Card"/>
    <n v="904"/>
    <x v="1"/>
    <x v="1"/>
    <s v="M00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1000"/>
    <d v="2026-01-25T00:00:00"/>
    <d v="1899-12-30T10:47:12"/>
    <s v="Credit Card"/>
    <n v="960"/>
    <s v="Failed"/>
    <s v="Network Error"/>
    <x v="0"/>
    <n v="10"/>
  </r>
  <r>
    <s v="T1001"/>
    <d v="2026-01-13T00:00:00"/>
    <d v="1899-12-30T10:47:12"/>
    <s v="UPI"/>
    <n v="3872"/>
    <s v="Success"/>
    <s v="NA"/>
    <x v="1"/>
    <n v="10"/>
  </r>
  <r>
    <s v="T1002"/>
    <d v="2026-01-31T00:00:00"/>
    <d v="1899-12-30T10:47:12"/>
    <s v="Net Banking"/>
    <n v="3192"/>
    <s v="Failed"/>
    <s v="Insufficient Funds"/>
    <x v="2"/>
    <n v="10"/>
  </r>
  <r>
    <s v="T1003"/>
    <d v="2026-01-27T00:00:00"/>
    <d v="1899-12-30T10:47:12"/>
    <s v="Net Banking"/>
    <n v="566"/>
    <s v="Success"/>
    <s v="NA"/>
    <x v="3"/>
    <n v="10"/>
  </r>
  <r>
    <s v="T1004"/>
    <d v="2026-01-29T00:00:00"/>
    <d v="1899-12-30T10:47:12"/>
    <s v="UPI"/>
    <n v="4526"/>
    <s v="Success"/>
    <s v="NA"/>
    <x v="4"/>
    <n v="10"/>
  </r>
  <r>
    <s v="T1005"/>
    <d v="2026-01-27T00:00:00"/>
    <d v="1899-12-30T10:47:12"/>
    <s v="Credit Card"/>
    <n v="3544"/>
    <s v="Failed"/>
    <s v="Fraud"/>
    <x v="1"/>
    <n v="10"/>
  </r>
  <r>
    <s v="T1006"/>
    <d v="2026-01-13T00:00:00"/>
    <d v="1899-12-30T10:47:12"/>
    <s v="UPI"/>
    <n v="3271"/>
    <s v="Failed"/>
    <s v="Timeout"/>
    <x v="2"/>
    <n v="10"/>
  </r>
  <r>
    <s v="T1007"/>
    <d v="2026-02-08T00:00:00"/>
    <d v="1899-12-30T10:47:12"/>
    <s v="Net Banking"/>
    <n v="3019"/>
    <s v="Success"/>
    <s v="NA"/>
    <x v="4"/>
    <n v="10"/>
  </r>
  <r>
    <s v="T1008"/>
    <d v="2026-02-07T00:00:00"/>
    <d v="1899-12-30T10:47:12"/>
    <s v="Wallet"/>
    <n v="230"/>
    <s v="Failed"/>
    <s v="Timeout"/>
    <x v="3"/>
    <n v="10"/>
  </r>
  <r>
    <s v="T1009"/>
    <d v="2026-02-08T00:00:00"/>
    <d v="1899-12-30T10:47:12"/>
    <s v="Wallet"/>
    <n v="1785"/>
    <s v="Success"/>
    <s v="NA"/>
    <x v="4"/>
    <n v="10"/>
  </r>
  <r>
    <s v="T1010"/>
    <d v="2026-02-03T00:00:00"/>
    <d v="1899-12-30T10:47:12"/>
    <s v="Debit Card"/>
    <n v="869"/>
    <s v="Success"/>
    <s v="NA"/>
    <x v="2"/>
    <n v="10"/>
  </r>
  <r>
    <s v="T1011"/>
    <d v="2026-02-04T00:00:00"/>
    <d v="1899-12-30T10:47:12"/>
    <s v="UPI"/>
    <n v="2491"/>
    <s v="Success"/>
    <s v="NA"/>
    <x v="4"/>
    <n v="10"/>
  </r>
  <r>
    <s v="T1012"/>
    <d v="2026-02-08T00:00:00"/>
    <d v="1899-12-30T10:47:12"/>
    <s v="UPI"/>
    <n v="2533"/>
    <s v="Success"/>
    <s v="NA"/>
    <x v="0"/>
    <n v="10"/>
  </r>
  <r>
    <s v="T1013"/>
    <d v="2026-01-13T00:00:00"/>
    <d v="1899-12-30T10:47:12"/>
    <s v="Debit Card"/>
    <n v="1284"/>
    <s v="Success"/>
    <s v="NA"/>
    <x v="4"/>
    <n v="10"/>
  </r>
  <r>
    <s v="T1014"/>
    <d v="2026-02-08T00:00:00"/>
    <d v="1899-12-30T10:47:12"/>
    <s v="Debit Card"/>
    <n v="4655"/>
    <s v="Success"/>
    <s v="NA"/>
    <x v="1"/>
    <n v="10"/>
  </r>
  <r>
    <s v="T1015"/>
    <d v="2026-01-24T00:00:00"/>
    <d v="1899-12-30T10:47:12"/>
    <s v="Debit Card"/>
    <n v="3485"/>
    <s v="Success"/>
    <s v="NA"/>
    <x v="1"/>
    <n v="10"/>
  </r>
  <r>
    <s v="T1016"/>
    <d v="2026-02-04T00:00:00"/>
    <d v="1899-12-30T10:47:12"/>
    <s v="Net Banking"/>
    <n v="4217"/>
    <s v="Success"/>
    <s v="NA"/>
    <x v="0"/>
    <n v="10"/>
  </r>
  <r>
    <s v="T1017"/>
    <d v="2026-01-26T00:00:00"/>
    <d v="1899-12-30T10:47:12"/>
    <s v="UPI"/>
    <n v="4943"/>
    <s v="Success"/>
    <s v="NA"/>
    <x v="2"/>
    <n v="10"/>
  </r>
  <r>
    <s v="T1018"/>
    <d v="2026-01-26T00:00:00"/>
    <d v="1899-12-30T10:47:12"/>
    <s v="Net Banking"/>
    <n v="3004"/>
    <s v="Pending"/>
    <s v="NA"/>
    <x v="1"/>
    <n v="10"/>
  </r>
  <r>
    <s v="T1019"/>
    <d v="2026-02-02T00:00:00"/>
    <d v="1899-12-30T10:47:12"/>
    <s v="Debit Card"/>
    <n v="574"/>
    <s v="Success"/>
    <s v="NA"/>
    <x v="3"/>
    <n v="10"/>
  </r>
  <r>
    <s v="T1020"/>
    <d v="2026-02-07T00:00:00"/>
    <d v="1899-12-30T10:47:12"/>
    <s v="UPI"/>
    <n v="1182"/>
    <s v="Success"/>
    <s v="NA"/>
    <x v="1"/>
    <n v="10"/>
  </r>
  <r>
    <s v="T1021"/>
    <d v="2026-01-27T00:00:00"/>
    <d v="1899-12-30T10:47:12"/>
    <s v="Net Banking"/>
    <n v="2658"/>
    <s v="Failed"/>
    <s v="Network Error"/>
    <x v="1"/>
    <n v="10"/>
  </r>
  <r>
    <s v="T1022"/>
    <d v="2026-01-31T00:00:00"/>
    <d v="1899-12-30T10:47:12"/>
    <s v="Net Banking"/>
    <n v="2147"/>
    <s v="Success"/>
    <s v="NA"/>
    <x v="2"/>
    <n v="10"/>
  </r>
  <r>
    <s v="T1023"/>
    <d v="2026-02-07T00:00:00"/>
    <d v="1899-12-30T10:47:12"/>
    <s v="Debit Card"/>
    <n v="2847"/>
    <s v="Success"/>
    <s v="NA"/>
    <x v="4"/>
    <n v="10"/>
  </r>
  <r>
    <s v="T1024"/>
    <d v="2026-01-27T00:00:00"/>
    <d v="1899-12-30T10:47:12"/>
    <s v="UPI"/>
    <n v="1075"/>
    <s v="Success"/>
    <s v="NA"/>
    <x v="1"/>
    <n v="10"/>
  </r>
  <r>
    <s v="T1025"/>
    <d v="2026-01-13T00:00:00"/>
    <d v="1899-12-30T10:47:12"/>
    <s v="Debit Card"/>
    <n v="1906"/>
    <s v="Success"/>
    <s v="NA"/>
    <x v="0"/>
    <n v="10"/>
  </r>
  <r>
    <s v="T1026"/>
    <d v="2026-01-11T00:00:00"/>
    <d v="1899-12-30T10:47:12"/>
    <s v="UPI"/>
    <n v="289"/>
    <s v="Pending"/>
    <s v="NA"/>
    <x v="4"/>
    <n v="10"/>
  </r>
  <r>
    <s v="T1027"/>
    <d v="2026-01-10T00:00:00"/>
    <d v="1899-12-30T10:47:12"/>
    <s v="Wallet"/>
    <n v="2834"/>
    <s v="Failed"/>
    <s v="Network Error"/>
    <x v="3"/>
    <n v="10"/>
  </r>
  <r>
    <s v="T1028"/>
    <d v="2026-01-26T00:00:00"/>
    <d v="1899-12-30T10:47:12"/>
    <s v="Credit Card"/>
    <n v="3105"/>
    <s v="Success"/>
    <s v="NA"/>
    <x v="2"/>
    <n v="10"/>
  </r>
  <r>
    <s v="T1029"/>
    <d v="2026-01-18T00:00:00"/>
    <d v="1899-12-30T10:47:12"/>
    <s v="Credit Card"/>
    <n v="4758"/>
    <s v="Failed"/>
    <s v="Insufficient Funds"/>
    <x v="3"/>
    <n v="10"/>
  </r>
  <r>
    <s v="T1030"/>
    <d v="2026-02-07T00:00:00"/>
    <d v="1899-12-30T10:47:12"/>
    <s v="Credit Card"/>
    <n v="1999"/>
    <s v="Failed"/>
    <s v="Fraud"/>
    <x v="4"/>
    <n v="10"/>
  </r>
  <r>
    <s v="T1031"/>
    <d v="2026-01-11T00:00:00"/>
    <d v="1899-12-30T10:47:12"/>
    <s v="Debit Card"/>
    <n v="1367"/>
    <s v="Success"/>
    <s v="NA"/>
    <x v="4"/>
    <n v="10"/>
  </r>
  <r>
    <s v="T1032"/>
    <d v="2026-02-08T00:00:00"/>
    <d v="1899-12-30T10:47:12"/>
    <s v="Wallet"/>
    <n v="1628"/>
    <s v="Failed"/>
    <s v="Insufficient Funds"/>
    <x v="4"/>
    <n v="10"/>
  </r>
  <r>
    <s v="T1033"/>
    <d v="2026-02-03T00:00:00"/>
    <d v="1899-12-30T10:47:12"/>
    <s v="UPI"/>
    <n v="3302"/>
    <s v="Success"/>
    <s v="NA"/>
    <x v="3"/>
    <n v="10"/>
  </r>
  <r>
    <s v="T1034"/>
    <d v="2026-01-30T00:00:00"/>
    <d v="1899-12-30T10:47:12"/>
    <s v="Net Banking"/>
    <n v="3656"/>
    <s v="Failed"/>
    <s v="Insufficient Funds"/>
    <x v="4"/>
    <n v="10"/>
  </r>
  <r>
    <s v="T1035"/>
    <d v="2026-02-07T00:00:00"/>
    <d v="1899-12-30T10:47:12"/>
    <s v="UPI"/>
    <n v="3990"/>
    <s v="Failed"/>
    <s v="Insufficient Funds"/>
    <x v="3"/>
    <n v="10"/>
  </r>
  <r>
    <s v="T1036"/>
    <d v="2026-02-05T00:00:00"/>
    <d v="1899-12-30T10:47:12"/>
    <s v="Net Banking"/>
    <n v="746"/>
    <s v="Success"/>
    <s v="NA"/>
    <x v="4"/>
    <n v="10"/>
  </r>
  <r>
    <s v="T1037"/>
    <d v="2026-01-15T00:00:00"/>
    <d v="1899-12-30T10:47:12"/>
    <s v="UPI"/>
    <n v="2988"/>
    <s v="Success"/>
    <s v="NA"/>
    <x v="0"/>
    <n v="10"/>
  </r>
  <r>
    <s v="T1038"/>
    <d v="2026-01-14T00:00:00"/>
    <d v="1899-12-30T10:47:12"/>
    <s v="Wallet"/>
    <n v="2535"/>
    <s v="Success"/>
    <s v="NA"/>
    <x v="4"/>
    <n v="10"/>
  </r>
  <r>
    <s v="T1039"/>
    <d v="2026-01-18T00:00:00"/>
    <d v="1899-12-30T10:47:12"/>
    <s v="Net Banking"/>
    <n v="700"/>
    <s v="Success"/>
    <s v="NA"/>
    <x v="3"/>
    <n v="10"/>
  </r>
  <r>
    <s v="T1040"/>
    <d v="2026-01-27T00:00:00"/>
    <d v="1899-12-30T10:47:12"/>
    <s v="Debit Card"/>
    <n v="2463"/>
    <s v="Failed"/>
    <s v="Timeout"/>
    <x v="1"/>
    <n v="10"/>
  </r>
  <r>
    <s v="T1041"/>
    <d v="2026-01-26T00:00:00"/>
    <d v="1899-12-30T10:47:12"/>
    <s v="UPI"/>
    <n v="2161"/>
    <s v="Failed"/>
    <s v="Fraud"/>
    <x v="4"/>
    <n v="10"/>
  </r>
  <r>
    <s v="T1042"/>
    <d v="2026-01-15T00:00:00"/>
    <d v="1899-12-30T10:47:12"/>
    <s v="UPI"/>
    <n v="341"/>
    <s v="Success"/>
    <s v="NA"/>
    <x v="1"/>
    <n v="10"/>
  </r>
  <r>
    <s v="T1043"/>
    <d v="2026-01-12T00:00:00"/>
    <d v="1899-12-30T10:47:12"/>
    <s v="Net Banking"/>
    <n v="2141"/>
    <s v="Success"/>
    <s v="NA"/>
    <x v="0"/>
    <n v="10"/>
  </r>
  <r>
    <s v="T1044"/>
    <d v="2026-01-15T00:00:00"/>
    <d v="1899-12-30T10:47:12"/>
    <s v="Debit Card"/>
    <n v="2924"/>
    <s v="Success"/>
    <s v="NA"/>
    <x v="2"/>
    <n v="10"/>
  </r>
  <r>
    <s v="T1045"/>
    <d v="2026-02-06T00:00:00"/>
    <d v="1899-12-30T10:47:12"/>
    <s v="Debit Card"/>
    <n v="2712"/>
    <s v="Success"/>
    <s v="NA"/>
    <x v="0"/>
    <n v="10"/>
  </r>
  <r>
    <s v="T1046"/>
    <d v="2026-01-18T00:00:00"/>
    <d v="1899-12-30T10:47:12"/>
    <s v="Wallet"/>
    <n v="1463"/>
    <s v="Success"/>
    <s v="NA"/>
    <x v="4"/>
    <n v="10"/>
  </r>
  <r>
    <s v="T1047"/>
    <d v="2026-01-30T00:00:00"/>
    <d v="1899-12-30T10:47:12"/>
    <s v="Debit Card"/>
    <n v="1578"/>
    <s v="Success"/>
    <s v="NA"/>
    <x v="1"/>
    <n v="10"/>
  </r>
  <r>
    <s v="T1048"/>
    <d v="2026-01-20T00:00:00"/>
    <d v="1899-12-30T10:47:12"/>
    <s v="Debit Card"/>
    <n v="2656"/>
    <s v="Pending"/>
    <s v="NA"/>
    <x v="1"/>
    <n v="10"/>
  </r>
  <r>
    <s v="T1049"/>
    <d v="2026-02-02T00:00:00"/>
    <d v="1899-12-30T10:47:12"/>
    <s v="Debit Card"/>
    <n v="875"/>
    <s v="Success"/>
    <s v="NA"/>
    <x v="3"/>
    <n v="10"/>
  </r>
  <r>
    <s v="T1050"/>
    <d v="2026-01-26T00:00:00"/>
    <d v="1899-12-30T10:47:12"/>
    <s v="Credit Card"/>
    <n v="4114"/>
    <s v="Success"/>
    <s v="NA"/>
    <x v="1"/>
    <n v="10"/>
  </r>
  <r>
    <s v="T1051"/>
    <d v="2026-01-22T00:00:00"/>
    <d v="1899-12-30T10:47:12"/>
    <s v="Wallet"/>
    <n v="134"/>
    <s v="Failed"/>
    <s v="Timeout"/>
    <x v="3"/>
    <n v="10"/>
  </r>
  <r>
    <s v="T1052"/>
    <d v="2026-01-29T00:00:00"/>
    <d v="1899-12-30T10:47:12"/>
    <s v="UPI"/>
    <n v="3252"/>
    <s v="Success"/>
    <s v="NA"/>
    <x v="2"/>
    <n v="10"/>
  </r>
  <r>
    <s v="T1053"/>
    <d v="2026-01-13T00:00:00"/>
    <d v="1899-12-30T10:47:12"/>
    <s v="Net Banking"/>
    <n v="2055"/>
    <s v="Pending"/>
    <s v="NA"/>
    <x v="4"/>
    <n v="10"/>
  </r>
  <r>
    <s v="T1054"/>
    <d v="2026-01-23T00:00:00"/>
    <d v="1899-12-30T10:47:12"/>
    <s v="UPI"/>
    <n v="1685"/>
    <s v="Pending"/>
    <s v="NA"/>
    <x v="3"/>
    <n v="10"/>
  </r>
  <r>
    <s v="T1055"/>
    <d v="2026-02-07T00:00:00"/>
    <d v="1899-12-30T10:47:12"/>
    <s v="Wallet"/>
    <n v="4043"/>
    <s v="Success"/>
    <s v="NA"/>
    <x v="2"/>
    <n v="10"/>
  </r>
  <r>
    <s v="T1056"/>
    <d v="2026-01-14T00:00:00"/>
    <d v="1899-12-30T10:47:12"/>
    <s v="Net Banking"/>
    <n v="3173"/>
    <s v="Success"/>
    <s v="NA"/>
    <x v="1"/>
    <n v="10"/>
  </r>
  <r>
    <s v="T1057"/>
    <d v="2026-01-13T00:00:00"/>
    <d v="1899-12-30T10:47:12"/>
    <s v="Wallet"/>
    <n v="1121"/>
    <s v="Success"/>
    <s v="NA"/>
    <x v="1"/>
    <n v="10"/>
  </r>
  <r>
    <s v="T1058"/>
    <d v="2026-01-23T00:00:00"/>
    <d v="1899-12-30T10:47:12"/>
    <s v="Debit Card"/>
    <n v="3561"/>
    <s v="Success"/>
    <s v="NA"/>
    <x v="2"/>
    <n v="10"/>
  </r>
  <r>
    <s v="T1059"/>
    <d v="2026-01-19T00:00:00"/>
    <d v="1899-12-30T10:47:12"/>
    <s v="Net Banking"/>
    <n v="2713"/>
    <s v="Success"/>
    <s v="NA"/>
    <x v="1"/>
    <n v="10"/>
  </r>
  <r>
    <s v="T1060"/>
    <d v="2026-01-13T00:00:00"/>
    <d v="1899-12-30T10:47:12"/>
    <s v="Debit Card"/>
    <n v="3943"/>
    <s v="Success"/>
    <s v="NA"/>
    <x v="2"/>
    <n v="10"/>
  </r>
  <r>
    <s v="T1061"/>
    <d v="2026-01-24T00:00:00"/>
    <d v="1899-12-30T10:47:12"/>
    <s v="UPI"/>
    <n v="1600"/>
    <s v="Success"/>
    <s v="NA"/>
    <x v="3"/>
    <n v="10"/>
  </r>
  <r>
    <s v="T1062"/>
    <d v="2026-01-12T00:00:00"/>
    <d v="1899-12-30T10:47:12"/>
    <s v="UPI"/>
    <n v="4898"/>
    <s v="Success"/>
    <s v="NA"/>
    <x v="3"/>
    <n v="10"/>
  </r>
  <r>
    <s v="T1063"/>
    <d v="2026-02-04T00:00:00"/>
    <d v="1899-12-30T10:47:12"/>
    <s v="Net Banking"/>
    <n v="261"/>
    <s v="Success"/>
    <s v="NA"/>
    <x v="2"/>
    <n v="10"/>
  </r>
  <r>
    <s v="T1064"/>
    <d v="2026-01-23T00:00:00"/>
    <d v="1899-12-30T10:47:12"/>
    <s v="Net Banking"/>
    <n v="4397"/>
    <s v="Pending"/>
    <s v="NA"/>
    <x v="3"/>
    <n v="10"/>
  </r>
  <r>
    <s v="T1065"/>
    <d v="2026-01-24T00:00:00"/>
    <d v="1899-12-30T10:47:12"/>
    <s v="Wallet"/>
    <n v="2081"/>
    <s v="Success"/>
    <s v="NA"/>
    <x v="3"/>
    <n v="10"/>
  </r>
  <r>
    <s v="T1066"/>
    <d v="2026-02-02T00:00:00"/>
    <d v="1899-12-30T10:47:12"/>
    <s v="Wallet"/>
    <n v="1095"/>
    <s v="Success"/>
    <s v="NA"/>
    <x v="3"/>
    <n v="10"/>
  </r>
  <r>
    <s v="T1067"/>
    <d v="2026-01-25T00:00:00"/>
    <d v="1899-12-30T10:47:12"/>
    <s v="Debit Card"/>
    <n v="3442"/>
    <s v="Success"/>
    <s v="NA"/>
    <x v="0"/>
    <n v="10"/>
  </r>
  <r>
    <s v="T1068"/>
    <d v="2026-01-16T00:00:00"/>
    <d v="1899-12-30T10:47:12"/>
    <s v="Net Banking"/>
    <n v="4651"/>
    <s v="Pending"/>
    <s v="NA"/>
    <x v="4"/>
    <n v="10"/>
  </r>
  <r>
    <s v="T1069"/>
    <d v="2026-01-25T00:00:00"/>
    <d v="1899-12-30T10:47:12"/>
    <s v="UPI"/>
    <n v="3898"/>
    <s v="Success"/>
    <s v="NA"/>
    <x v="1"/>
    <n v="10"/>
  </r>
  <r>
    <s v="T1070"/>
    <d v="2026-01-19T00:00:00"/>
    <d v="1899-12-30T10:47:12"/>
    <s v="Wallet"/>
    <n v="1375"/>
    <s v="Success"/>
    <s v="NA"/>
    <x v="0"/>
    <n v="10"/>
  </r>
  <r>
    <s v="T1071"/>
    <d v="2026-01-26T00:00:00"/>
    <d v="1899-12-30T10:47:12"/>
    <s v="Wallet"/>
    <n v="1116"/>
    <s v="Failed"/>
    <s v="Insufficient Funds"/>
    <x v="3"/>
    <n v="10"/>
  </r>
  <r>
    <s v="T1072"/>
    <d v="2026-01-21T00:00:00"/>
    <d v="1899-12-30T10:47:12"/>
    <s v="UPI"/>
    <n v="437"/>
    <s v="Success"/>
    <s v="NA"/>
    <x v="2"/>
    <n v="10"/>
  </r>
  <r>
    <s v="T1073"/>
    <d v="2026-01-21T00:00:00"/>
    <d v="1899-12-30T10:47:12"/>
    <s v="Wallet"/>
    <n v="978"/>
    <s v="Failed"/>
    <s v="Timeout"/>
    <x v="3"/>
    <n v="10"/>
  </r>
  <r>
    <s v="T1074"/>
    <d v="2026-02-08T00:00:00"/>
    <d v="1899-12-30T10:47:12"/>
    <s v="Debit Card"/>
    <n v="1176"/>
    <s v="Success"/>
    <s v="NA"/>
    <x v="4"/>
    <n v="10"/>
  </r>
  <r>
    <s v="T1075"/>
    <d v="2026-02-03T00:00:00"/>
    <d v="1899-12-30T10:47:12"/>
    <s v="Net Banking"/>
    <n v="4987"/>
    <s v="Success"/>
    <s v="NA"/>
    <x v="3"/>
    <n v="10"/>
  </r>
  <r>
    <s v="T1076"/>
    <d v="2026-01-13T00:00:00"/>
    <d v="1899-12-30T10:47:12"/>
    <s v="UPI"/>
    <n v="4093"/>
    <s v="Success"/>
    <s v="NA"/>
    <x v="2"/>
    <n v="10"/>
  </r>
  <r>
    <s v="T1077"/>
    <d v="2026-02-05T00:00:00"/>
    <d v="1899-12-30T10:47:12"/>
    <s v="Net Banking"/>
    <n v="4959"/>
    <s v="Success"/>
    <s v="NA"/>
    <x v="4"/>
    <n v="10"/>
  </r>
  <r>
    <s v="T1078"/>
    <d v="2026-01-27T00:00:00"/>
    <d v="1899-12-30T10:47:12"/>
    <s v="Wallet"/>
    <n v="479"/>
    <s v="Success"/>
    <s v="NA"/>
    <x v="3"/>
    <n v="10"/>
  </r>
  <r>
    <s v="T1079"/>
    <d v="2026-01-22T00:00:00"/>
    <d v="1899-12-30T10:47:12"/>
    <s v="Wallet"/>
    <n v="592"/>
    <s v="Failed"/>
    <s v="Network Error"/>
    <x v="4"/>
    <n v="10"/>
  </r>
  <r>
    <s v="T1080"/>
    <d v="2026-01-21T00:00:00"/>
    <d v="1899-12-30T10:47:12"/>
    <s v="UPI"/>
    <n v="2162"/>
    <s v="Success"/>
    <s v="NA"/>
    <x v="1"/>
    <n v="10"/>
  </r>
  <r>
    <s v="T1081"/>
    <d v="2026-02-04T00:00:00"/>
    <d v="1899-12-30T10:47:12"/>
    <s v="Debit Card"/>
    <n v="3984"/>
    <s v="Success"/>
    <s v="NA"/>
    <x v="1"/>
    <n v="10"/>
  </r>
  <r>
    <s v="T1082"/>
    <d v="2026-01-20T00:00:00"/>
    <d v="1899-12-30T10:47:12"/>
    <s v="Credit Card"/>
    <n v="164"/>
    <s v="Success"/>
    <s v="NA"/>
    <x v="3"/>
    <n v="10"/>
  </r>
  <r>
    <s v="T1083"/>
    <d v="2026-01-25T00:00:00"/>
    <d v="1899-12-30T10:47:12"/>
    <s v="UPI"/>
    <n v="2668"/>
    <s v="Success"/>
    <s v="NA"/>
    <x v="4"/>
    <n v="10"/>
  </r>
  <r>
    <s v="T1084"/>
    <d v="2026-02-03T00:00:00"/>
    <d v="1899-12-30T10:47:12"/>
    <s v="Credit Card"/>
    <n v="2127"/>
    <s v="Success"/>
    <s v="NA"/>
    <x v="2"/>
    <n v="10"/>
  </r>
  <r>
    <s v="T1085"/>
    <d v="2026-01-26T00:00:00"/>
    <d v="1899-12-30T10:47:12"/>
    <s v="Credit Card"/>
    <n v="2795"/>
    <s v="Success"/>
    <s v="NA"/>
    <x v="3"/>
    <n v="10"/>
  </r>
  <r>
    <s v="T1086"/>
    <d v="2026-02-08T00:00:00"/>
    <d v="1899-12-30T10:47:12"/>
    <s v="Debit Card"/>
    <n v="1595"/>
    <s v="Success"/>
    <s v="NA"/>
    <x v="1"/>
    <n v="10"/>
  </r>
  <r>
    <s v="T1087"/>
    <d v="2026-01-15T00:00:00"/>
    <d v="1899-12-30T10:47:12"/>
    <s v="Credit Card"/>
    <n v="491"/>
    <s v="Success"/>
    <s v="NA"/>
    <x v="1"/>
    <n v="10"/>
  </r>
  <r>
    <s v="T1088"/>
    <d v="2026-01-29T00:00:00"/>
    <d v="1899-12-30T10:47:12"/>
    <s v="Credit Card"/>
    <n v="4614"/>
    <s v="Success"/>
    <s v="NA"/>
    <x v="3"/>
    <n v="10"/>
  </r>
  <r>
    <s v="T1089"/>
    <d v="2026-01-25T00:00:00"/>
    <d v="1899-12-30T10:47:12"/>
    <s v="Debit Card"/>
    <n v="4574"/>
    <s v="Success"/>
    <s v="NA"/>
    <x v="4"/>
    <n v="10"/>
  </r>
  <r>
    <s v="T1090"/>
    <d v="2026-01-17T00:00:00"/>
    <d v="1899-12-30T10:47:12"/>
    <s v="Credit Card"/>
    <n v="3661"/>
    <s v="Success"/>
    <s v="NA"/>
    <x v="1"/>
    <n v="10"/>
  </r>
  <r>
    <s v="T1091"/>
    <d v="2026-01-26T00:00:00"/>
    <d v="1899-12-30T10:47:12"/>
    <s v="Credit Card"/>
    <n v="2378"/>
    <s v="Success"/>
    <s v="NA"/>
    <x v="4"/>
    <n v="10"/>
  </r>
  <r>
    <s v="T1092"/>
    <d v="2026-01-19T00:00:00"/>
    <d v="1899-12-30T10:47:12"/>
    <s v="Credit Card"/>
    <n v="3199"/>
    <s v="Pending"/>
    <s v="NA"/>
    <x v="1"/>
    <n v="10"/>
  </r>
  <r>
    <s v="T1093"/>
    <d v="2026-01-28T00:00:00"/>
    <d v="1899-12-30T10:47:12"/>
    <s v="UPI"/>
    <n v="300"/>
    <s v="Success"/>
    <s v="NA"/>
    <x v="1"/>
    <n v="10"/>
  </r>
  <r>
    <s v="T1094"/>
    <d v="2026-01-12T00:00:00"/>
    <d v="1899-12-30T10:47:12"/>
    <s v="UPI"/>
    <n v="4975"/>
    <s v="Success"/>
    <s v="NA"/>
    <x v="0"/>
    <n v="10"/>
  </r>
  <r>
    <s v="T1095"/>
    <d v="2026-02-06T00:00:00"/>
    <d v="1899-12-30T10:47:12"/>
    <s v="UPI"/>
    <n v="3204"/>
    <s v="Success"/>
    <s v="NA"/>
    <x v="1"/>
    <n v="10"/>
  </r>
  <r>
    <s v="T1096"/>
    <d v="2026-01-19T00:00:00"/>
    <d v="1899-12-30T10:47:12"/>
    <s v="Debit Card"/>
    <n v="4698"/>
    <s v="Pending"/>
    <s v="NA"/>
    <x v="2"/>
    <n v="10"/>
  </r>
  <r>
    <s v="T1097"/>
    <d v="2026-01-28T00:00:00"/>
    <d v="1899-12-30T10:47:12"/>
    <s v="Wallet"/>
    <n v="2554"/>
    <s v="Failed"/>
    <s v="Insufficient Funds"/>
    <x v="3"/>
    <n v="10"/>
  </r>
  <r>
    <s v="T1098"/>
    <d v="2026-01-13T00:00:00"/>
    <d v="1899-12-30T10:47:12"/>
    <s v="Credit Card"/>
    <n v="3745"/>
    <s v="Success"/>
    <s v="NA"/>
    <x v="3"/>
    <n v="10"/>
  </r>
  <r>
    <s v="T1099"/>
    <d v="2026-01-25T00:00:00"/>
    <d v="1899-12-30T10:47:12"/>
    <s v="Credit Card"/>
    <n v="904"/>
    <s v="Success"/>
    <s v="NA"/>
    <x v="4"/>
    <n v="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1000"/>
    <d v="2026-01-25T00:00:00"/>
    <d v="1899-12-30T10:47:12"/>
    <x v="0"/>
    <n v="960"/>
    <s v="Failed"/>
    <s v="Network Error"/>
    <s v="M003"/>
    <n v="10"/>
  </r>
  <r>
    <s v="T1001"/>
    <d v="2026-01-13T00:00:00"/>
    <d v="1899-12-30T10:47:12"/>
    <x v="1"/>
    <n v="3872"/>
    <s v="Success"/>
    <s v="NA"/>
    <s v="M002"/>
    <n v="10"/>
  </r>
  <r>
    <s v="T1002"/>
    <d v="2026-01-31T00:00:00"/>
    <d v="1899-12-30T10:47:12"/>
    <x v="2"/>
    <n v="3192"/>
    <s v="Failed"/>
    <s v="Insufficient Funds"/>
    <s v="M001"/>
    <n v="10"/>
  </r>
  <r>
    <s v="T1003"/>
    <d v="2026-01-27T00:00:00"/>
    <d v="1899-12-30T10:47:12"/>
    <x v="2"/>
    <n v="566"/>
    <s v="Success"/>
    <s v="NA"/>
    <s v="M005"/>
    <n v="10"/>
  </r>
  <r>
    <s v="T1004"/>
    <d v="2026-01-29T00:00:00"/>
    <d v="1899-12-30T10:47:12"/>
    <x v="1"/>
    <n v="4526"/>
    <s v="Success"/>
    <s v="NA"/>
    <s v="M004"/>
    <n v="10"/>
  </r>
  <r>
    <s v="T1005"/>
    <d v="2026-01-27T00:00:00"/>
    <d v="1899-12-30T10:47:12"/>
    <x v="0"/>
    <n v="3544"/>
    <s v="Failed"/>
    <s v="Fraud"/>
    <s v="M002"/>
    <n v="10"/>
  </r>
  <r>
    <s v="T1006"/>
    <d v="2026-01-13T00:00:00"/>
    <d v="1899-12-30T10:47:12"/>
    <x v="1"/>
    <n v="3271"/>
    <s v="Failed"/>
    <s v="Timeout"/>
    <s v="M001"/>
    <n v="10"/>
  </r>
  <r>
    <s v="T1007"/>
    <d v="2026-02-08T00:00:00"/>
    <d v="1899-12-30T10:47:12"/>
    <x v="2"/>
    <n v="3019"/>
    <s v="Success"/>
    <s v="NA"/>
    <s v="M004"/>
    <n v="10"/>
  </r>
  <r>
    <s v="T1008"/>
    <d v="2026-02-07T00:00:00"/>
    <d v="1899-12-30T10:47:12"/>
    <x v="3"/>
    <n v="230"/>
    <s v="Failed"/>
    <s v="Timeout"/>
    <s v="M005"/>
    <n v="10"/>
  </r>
  <r>
    <s v="T1009"/>
    <d v="2026-02-08T00:00:00"/>
    <d v="1899-12-30T10:47:12"/>
    <x v="3"/>
    <n v="1785"/>
    <s v="Success"/>
    <s v="NA"/>
    <s v="M004"/>
    <n v="10"/>
  </r>
  <r>
    <s v="T1010"/>
    <d v="2026-02-03T00:00:00"/>
    <d v="1899-12-30T10:47:12"/>
    <x v="4"/>
    <n v="869"/>
    <s v="Success"/>
    <s v="NA"/>
    <s v="M001"/>
    <n v="10"/>
  </r>
  <r>
    <s v="T1011"/>
    <d v="2026-02-04T00:00:00"/>
    <d v="1899-12-30T10:47:12"/>
    <x v="1"/>
    <n v="2491"/>
    <s v="Success"/>
    <s v="NA"/>
    <s v="M004"/>
    <n v="10"/>
  </r>
  <r>
    <s v="T1012"/>
    <d v="2026-02-08T00:00:00"/>
    <d v="1899-12-30T10:47:12"/>
    <x v="1"/>
    <n v="2533"/>
    <s v="Success"/>
    <s v="NA"/>
    <s v="M003"/>
    <n v="10"/>
  </r>
  <r>
    <s v="T1013"/>
    <d v="2026-01-13T00:00:00"/>
    <d v="1899-12-30T10:47:12"/>
    <x v="4"/>
    <n v="1284"/>
    <s v="Success"/>
    <s v="NA"/>
    <s v="M004"/>
    <n v="10"/>
  </r>
  <r>
    <s v="T1014"/>
    <d v="2026-02-08T00:00:00"/>
    <d v="1899-12-30T10:47:12"/>
    <x v="4"/>
    <n v="4655"/>
    <s v="Success"/>
    <s v="NA"/>
    <s v="M002"/>
    <n v="10"/>
  </r>
  <r>
    <s v="T1015"/>
    <d v="2026-01-24T00:00:00"/>
    <d v="1899-12-30T10:47:12"/>
    <x v="4"/>
    <n v="3485"/>
    <s v="Success"/>
    <s v="NA"/>
    <s v="M002"/>
    <n v="10"/>
  </r>
  <r>
    <s v="T1016"/>
    <d v="2026-02-04T00:00:00"/>
    <d v="1899-12-30T10:47:12"/>
    <x v="2"/>
    <n v="4217"/>
    <s v="Success"/>
    <s v="NA"/>
    <s v="M003"/>
    <n v="10"/>
  </r>
  <r>
    <s v="T1017"/>
    <d v="2026-01-26T00:00:00"/>
    <d v="1899-12-30T10:47:12"/>
    <x v="1"/>
    <n v="4943"/>
    <s v="Success"/>
    <s v="NA"/>
    <s v="M001"/>
    <n v="10"/>
  </r>
  <r>
    <s v="T1018"/>
    <d v="2026-01-26T00:00:00"/>
    <d v="1899-12-30T10:47:12"/>
    <x v="2"/>
    <n v="3004"/>
    <s v="Pending"/>
    <s v="NA"/>
    <s v="M002"/>
    <n v="10"/>
  </r>
  <r>
    <s v="T1019"/>
    <d v="2026-02-02T00:00:00"/>
    <d v="1899-12-30T10:47:12"/>
    <x v="4"/>
    <n v="574"/>
    <s v="Success"/>
    <s v="NA"/>
    <s v="M005"/>
    <n v="10"/>
  </r>
  <r>
    <s v="T1020"/>
    <d v="2026-02-07T00:00:00"/>
    <d v="1899-12-30T10:47:12"/>
    <x v="1"/>
    <n v="1182"/>
    <s v="Success"/>
    <s v="NA"/>
    <s v="M002"/>
    <n v="10"/>
  </r>
  <r>
    <s v="T1021"/>
    <d v="2026-01-27T00:00:00"/>
    <d v="1899-12-30T10:47:12"/>
    <x v="2"/>
    <n v="2658"/>
    <s v="Failed"/>
    <s v="Network Error"/>
    <s v="M002"/>
    <n v="10"/>
  </r>
  <r>
    <s v="T1022"/>
    <d v="2026-01-31T00:00:00"/>
    <d v="1899-12-30T10:47:12"/>
    <x v="2"/>
    <n v="2147"/>
    <s v="Success"/>
    <s v="NA"/>
    <s v="M001"/>
    <n v="10"/>
  </r>
  <r>
    <s v="T1023"/>
    <d v="2026-02-07T00:00:00"/>
    <d v="1899-12-30T10:47:12"/>
    <x v="4"/>
    <n v="2847"/>
    <s v="Success"/>
    <s v="NA"/>
    <s v="M004"/>
    <n v="10"/>
  </r>
  <r>
    <s v="T1024"/>
    <d v="2026-01-27T00:00:00"/>
    <d v="1899-12-30T10:47:12"/>
    <x v="1"/>
    <n v="1075"/>
    <s v="Success"/>
    <s v="NA"/>
    <s v="M002"/>
    <n v="10"/>
  </r>
  <r>
    <s v="T1025"/>
    <d v="2026-01-13T00:00:00"/>
    <d v="1899-12-30T10:47:12"/>
    <x v="4"/>
    <n v="1906"/>
    <s v="Success"/>
    <s v="NA"/>
    <s v="M003"/>
    <n v="10"/>
  </r>
  <r>
    <s v="T1026"/>
    <d v="2026-01-11T00:00:00"/>
    <d v="1899-12-30T10:47:12"/>
    <x v="1"/>
    <n v="289"/>
    <s v="Pending"/>
    <s v="NA"/>
    <s v="M004"/>
    <n v="10"/>
  </r>
  <r>
    <s v="T1027"/>
    <d v="2026-01-10T00:00:00"/>
    <d v="1899-12-30T10:47:12"/>
    <x v="3"/>
    <n v="2834"/>
    <s v="Failed"/>
    <s v="Network Error"/>
    <s v="M005"/>
    <n v="10"/>
  </r>
  <r>
    <s v="T1028"/>
    <d v="2026-01-26T00:00:00"/>
    <d v="1899-12-30T10:47:12"/>
    <x v="0"/>
    <n v="3105"/>
    <s v="Success"/>
    <s v="NA"/>
    <s v="M001"/>
    <n v="10"/>
  </r>
  <r>
    <s v="T1029"/>
    <d v="2026-01-18T00:00:00"/>
    <d v="1899-12-30T10:47:12"/>
    <x v="0"/>
    <n v="4758"/>
    <s v="Failed"/>
    <s v="Insufficient Funds"/>
    <s v="M005"/>
    <n v="10"/>
  </r>
  <r>
    <s v="T1030"/>
    <d v="2026-02-07T00:00:00"/>
    <d v="1899-12-30T10:47:12"/>
    <x v="0"/>
    <n v="1999"/>
    <s v="Failed"/>
    <s v="Fraud"/>
    <s v="M004"/>
    <n v="10"/>
  </r>
  <r>
    <s v="T1031"/>
    <d v="2026-01-11T00:00:00"/>
    <d v="1899-12-30T10:47:12"/>
    <x v="4"/>
    <n v="1367"/>
    <s v="Success"/>
    <s v="NA"/>
    <s v="M004"/>
    <n v="10"/>
  </r>
  <r>
    <s v="T1032"/>
    <d v="2026-02-08T00:00:00"/>
    <d v="1899-12-30T10:47:12"/>
    <x v="3"/>
    <n v="1628"/>
    <s v="Failed"/>
    <s v="Insufficient Funds"/>
    <s v="M004"/>
    <n v="10"/>
  </r>
  <r>
    <s v="T1033"/>
    <d v="2026-02-03T00:00:00"/>
    <d v="1899-12-30T10:47:12"/>
    <x v="1"/>
    <n v="3302"/>
    <s v="Success"/>
    <s v="NA"/>
    <s v="M005"/>
    <n v="10"/>
  </r>
  <r>
    <s v="T1034"/>
    <d v="2026-01-30T00:00:00"/>
    <d v="1899-12-30T10:47:12"/>
    <x v="2"/>
    <n v="3656"/>
    <s v="Failed"/>
    <s v="Insufficient Funds"/>
    <s v="M004"/>
    <n v="10"/>
  </r>
  <r>
    <s v="T1035"/>
    <d v="2026-02-07T00:00:00"/>
    <d v="1899-12-30T10:47:12"/>
    <x v="1"/>
    <n v="3990"/>
    <s v="Failed"/>
    <s v="Insufficient Funds"/>
    <s v="M005"/>
    <n v="10"/>
  </r>
  <r>
    <s v="T1036"/>
    <d v="2026-02-05T00:00:00"/>
    <d v="1899-12-30T10:47:12"/>
    <x v="2"/>
    <n v="746"/>
    <s v="Success"/>
    <s v="NA"/>
    <s v="M004"/>
    <n v="10"/>
  </r>
  <r>
    <s v="T1037"/>
    <d v="2026-01-15T00:00:00"/>
    <d v="1899-12-30T10:47:12"/>
    <x v="1"/>
    <n v="2988"/>
    <s v="Success"/>
    <s v="NA"/>
    <s v="M003"/>
    <n v="10"/>
  </r>
  <r>
    <s v="T1038"/>
    <d v="2026-01-14T00:00:00"/>
    <d v="1899-12-30T10:47:12"/>
    <x v="3"/>
    <n v="2535"/>
    <s v="Success"/>
    <s v="NA"/>
    <s v="M004"/>
    <n v="10"/>
  </r>
  <r>
    <s v="T1039"/>
    <d v="2026-01-18T00:00:00"/>
    <d v="1899-12-30T10:47:12"/>
    <x v="2"/>
    <n v="700"/>
    <s v="Success"/>
    <s v="NA"/>
    <s v="M005"/>
    <n v="10"/>
  </r>
  <r>
    <s v="T1040"/>
    <d v="2026-01-27T00:00:00"/>
    <d v="1899-12-30T10:47:12"/>
    <x v="4"/>
    <n v="2463"/>
    <s v="Failed"/>
    <s v="Timeout"/>
    <s v="M002"/>
    <n v="10"/>
  </r>
  <r>
    <s v="T1041"/>
    <d v="2026-01-26T00:00:00"/>
    <d v="1899-12-30T10:47:12"/>
    <x v="1"/>
    <n v="2161"/>
    <s v="Failed"/>
    <s v="Fraud"/>
    <s v="M004"/>
    <n v="10"/>
  </r>
  <r>
    <s v="T1042"/>
    <d v="2026-01-15T00:00:00"/>
    <d v="1899-12-30T10:47:12"/>
    <x v="1"/>
    <n v="341"/>
    <s v="Success"/>
    <s v="NA"/>
    <s v="M002"/>
    <n v="10"/>
  </r>
  <r>
    <s v="T1043"/>
    <d v="2026-01-12T00:00:00"/>
    <d v="1899-12-30T10:47:12"/>
    <x v="2"/>
    <n v="2141"/>
    <s v="Success"/>
    <s v="NA"/>
    <s v="M003"/>
    <n v="10"/>
  </r>
  <r>
    <s v="T1044"/>
    <d v="2026-01-15T00:00:00"/>
    <d v="1899-12-30T10:47:12"/>
    <x v="4"/>
    <n v="2924"/>
    <s v="Success"/>
    <s v="NA"/>
    <s v="M001"/>
    <n v="10"/>
  </r>
  <r>
    <s v="T1045"/>
    <d v="2026-02-06T00:00:00"/>
    <d v="1899-12-30T10:47:12"/>
    <x v="4"/>
    <n v="2712"/>
    <s v="Success"/>
    <s v="NA"/>
    <s v="M003"/>
    <n v="10"/>
  </r>
  <r>
    <s v="T1046"/>
    <d v="2026-01-18T00:00:00"/>
    <d v="1899-12-30T10:47:12"/>
    <x v="3"/>
    <n v="1463"/>
    <s v="Success"/>
    <s v="NA"/>
    <s v="M004"/>
    <n v="10"/>
  </r>
  <r>
    <s v="T1047"/>
    <d v="2026-01-30T00:00:00"/>
    <d v="1899-12-30T10:47:12"/>
    <x v="4"/>
    <n v="1578"/>
    <s v="Success"/>
    <s v="NA"/>
    <s v="M002"/>
    <n v="10"/>
  </r>
  <r>
    <s v="T1048"/>
    <d v="2026-01-20T00:00:00"/>
    <d v="1899-12-30T10:47:12"/>
    <x v="4"/>
    <n v="2656"/>
    <s v="Pending"/>
    <s v="NA"/>
    <s v="M002"/>
    <n v="10"/>
  </r>
  <r>
    <s v="T1049"/>
    <d v="2026-02-02T00:00:00"/>
    <d v="1899-12-30T10:47:12"/>
    <x v="4"/>
    <n v="875"/>
    <s v="Success"/>
    <s v="NA"/>
    <s v="M005"/>
    <n v="10"/>
  </r>
  <r>
    <s v="T1050"/>
    <d v="2026-01-26T00:00:00"/>
    <d v="1899-12-30T10:47:12"/>
    <x v="0"/>
    <n v="4114"/>
    <s v="Success"/>
    <s v="NA"/>
    <s v="M002"/>
    <n v="10"/>
  </r>
  <r>
    <s v="T1051"/>
    <d v="2026-01-22T00:00:00"/>
    <d v="1899-12-30T10:47:12"/>
    <x v="3"/>
    <n v="134"/>
    <s v="Failed"/>
    <s v="Timeout"/>
    <s v="M005"/>
    <n v="10"/>
  </r>
  <r>
    <s v="T1052"/>
    <d v="2026-01-29T00:00:00"/>
    <d v="1899-12-30T10:47:12"/>
    <x v="1"/>
    <n v="3252"/>
    <s v="Success"/>
    <s v="NA"/>
    <s v="M001"/>
    <n v="10"/>
  </r>
  <r>
    <s v="T1053"/>
    <d v="2026-01-13T00:00:00"/>
    <d v="1899-12-30T10:47:12"/>
    <x v="2"/>
    <n v="2055"/>
    <s v="Pending"/>
    <s v="NA"/>
    <s v="M004"/>
    <n v="10"/>
  </r>
  <r>
    <s v="T1054"/>
    <d v="2026-01-23T00:00:00"/>
    <d v="1899-12-30T10:47:12"/>
    <x v="1"/>
    <n v="1685"/>
    <s v="Pending"/>
    <s v="NA"/>
    <s v="M005"/>
    <n v="10"/>
  </r>
  <r>
    <s v="T1055"/>
    <d v="2026-02-07T00:00:00"/>
    <d v="1899-12-30T10:47:12"/>
    <x v="3"/>
    <n v="4043"/>
    <s v="Success"/>
    <s v="NA"/>
    <s v="M001"/>
    <n v="10"/>
  </r>
  <r>
    <s v="T1056"/>
    <d v="2026-01-14T00:00:00"/>
    <d v="1899-12-30T10:47:12"/>
    <x v="2"/>
    <n v="3173"/>
    <s v="Success"/>
    <s v="NA"/>
    <s v="M002"/>
    <n v="10"/>
  </r>
  <r>
    <s v="T1057"/>
    <d v="2026-01-13T00:00:00"/>
    <d v="1899-12-30T10:47:12"/>
    <x v="3"/>
    <n v="1121"/>
    <s v="Success"/>
    <s v="NA"/>
    <s v="M002"/>
    <n v="10"/>
  </r>
  <r>
    <s v="T1058"/>
    <d v="2026-01-23T00:00:00"/>
    <d v="1899-12-30T10:47:12"/>
    <x v="4"/>
    <n v="3561"/>
    <s v="Success"/>
    <s v="NA"/>
    <s v="M001"/>
    <n v="10"/>
  </r>
  <r>
    <s v="T1059"/>
    <d v="2026-01-19T00:00:00"/>
    <d v="1899-12-30T10:47:12"/>
    <x v="2"/>
    <n v="2713"/>
    <s v="Success"/>
    <s v="NA"/>
    <s v="M002"/>
    <n v="10"/>
  </r>
  <r>
    <s v="T1060"/>
    <d v="2026-01-13T00:00:00"/>
    <d v="1899-12-30T10:47:12"/>
    <x v="4"/>
    <n v="3943"/>
    <s v="Success"/>
    <s v="NA"/>
    <s v="M001"/>
    <n v="10"/>
  </r>
  <r>
    <s v="T1061"/>
    <d v="2026-01-24T00:00:00"/>
    <d v="1899-12-30T10:47:12"/>
    <x v="1"/>
    <n v="1600"/>
    <s v="Success"/>
    <s v="NA"/>
    <s v="M005"/>
    <n v="10"/>
  </r>
  <r>
    <s v="T1062"/>
    <d v="2026-01-12T00:00:00"/>
    <d v="1899-12-30T10:47:12"/>
    <x v="1"/>
    <n v="4898"/>
    <s v="Success"/>
    <s v="NA"/>
    <s v="M005"/>
    <n v="10"/>
  </r>
  <r>
    <s v="T1063"/>
    <d v="2026-02-04T00:00:00"/>
    <d v="1899-12-30T10:47:12"/>
    <x v="2"/>
    <n v="261"/>
    <s v="Success"/>
    <s v="NA"/>
    <s v="M001"/>
    <n v="10"/>
  </r>
  <r>
    <s v="T1064"/>
    <d v="2026-01-23T00:00:00"/>
    <d v="1899-12-30T10:47:12"/>
    <x v="2"/>
    <n v="4397"/>
    <s v="Pending"/>
    <s v="NA"/>
    <s v="M005"/>
    <n v="10"/>
  </r>
  <r>
    <s v="T1065"/>
    <d v="2026-01-24T00:00:00"/>
    <d v="1899-12-30T10:47:12"/>
    <x v="3"/>
    <n v="2081"/>
    <s v="Success"/>
    <s v="NA"/>
    <s v="M005"/>
    <n v="10"/>
  </r>
  <r>
    <s v="T1066"/>
    <d v="2026-02-02T00:00:00"/>
    <d v="1899-12-30T10:47:12"/>
    <x v="3"/>
    <n v="1095"/>
    <s v="Success"/>
    <s v="NA"/>
    <s v="M005"/>
    <n v="10"/>
  </r>
  <r>
    <s v="T1067"/>
    <d v="2026-01-25T00:00:00"/>
    <d v="1899-12-30T10:47:12"/>
    <x v="4"/>
    <n v="3442"/>
    <s v="Success"/>
    <s v="NA"/>
    <s v="M003"/>
    <n v="10"/>
  </r>
  <r>
    <s v="T1068"/>
    <d v="2026-01-16T00:00:00"/>
    <d v="1899-12-30T10:47:12"/>
    <x v="2"/>
    <n v="4651"/>
    <s v="Pending"/>
    <s v="NA"/>
    <s v="M004"/>
    <n v="10"/>
  </r>
  <r>
    <s v="T1069"/>
    <d v="2026-01-25T00:00:00"/>
    <d v="1899-12-30T10:47:12"/>
    <x v="1"/>
    <n v="3898"/>
    <s v="Success"/>
    <s v="NA"/>
    <s v="M002"/>
    <n v="10"/>
  </r>
  <r>
    <s v="T1070"/>
    <d v="2026-01-19T00:00:00"/>
    <d v="1899-12-30T10:47:12"/>
    <x v="3"/>
    <n v="1375"/>
    <s v="Success"/>
    <s v="NA"/>
    <s v="M003"/>
    <n v="10"/>
  </r>
  <r>
    <s v="T1071"/>
    <d v="2026-01-26T00:00:00"/>
    <d v="1899-12-30T10:47:12"/>
    <x v="3"/>
    <n v="1116"/>
    <s v="Failed"/>
    <s v="Insufficient Funds"/>
    <s v="M005"/>
    <n v="10"/>
  </r>
  <r>
    <s v="T1072"/>
    <d v="2026-01-21T00:00:00"/>
    <d v="1899-12-30T10:47:12"/>
    <x v="1"/>
    <n v="437"/>
    <s v="Success"/>
    <s v="NA"/>
    <s v="M001"/>
    <n v="10"/>
  </r>
  <r>
    <s v="T1073"/>
    <d v="2026-01-21T00:00:00"/>
    <d v="1899-12-30T10:47:12"/>
    <x v="3"/>
    <n v="978"/>
    <s v="Failed"/>
    <s v="Timeout"/>
    <s v="M005"/>
    <n v="10"/>
  </r>
  <r>
    <s v="T1074"/>
    <d v="2026-02-08T00:00:00"/>
    <d v="1899-12-30T10:47:12"/>
    <x v="4"/>
    <n v="1176"/>
    <s v="Success"/>
    <s v="NA"/>
    <s v="M004"/>
    <n v="10"/>
  </r>
  <r>
    <s v="T1075"/>
    <d v="2026-02-03T00:00:00"/>
    <d v="1899-12-30T10:47:12"/>
    <x v="2"/>
    <n v="4987"/>
    <s v="Success"/>
    <s v="NA"/>
    <s v="M005"/>
    <n v="10"/>
  </r>
  <r>
    <s v="T1076"/>
    <d v="2026-01-13T00:00:00"/>
    <d v="1899-12-30T10:47:12"/>
    <x v="1"/>
    <n v="4093"/>
    <s v="Success"/>
    <s v="NA"/>
    <s v="M001"/>
    <n v="10"/>
  </r>
  <r>
    <s v="T1077"/>
    <d v="2026-02-05T00:00:00"/>
    <d v="1899-12-30T10:47:12"/>
    <x v="2"/>
    <n v="4959"/>
    <s v="Success"/>
    <s v="NA"/>
    <s v="M004"/>
    <n v="10"/>
  </r>
  <r>
    <s v="T1078"/>
    <d v="2026-01-27T00:00:00"/>
    <d v="1899-12-30T10:47:12"/>
    <x v="3"/>
    <n v="479"/>
    <s v="Success"/>
    <s v="NA"/>
    <s v="M005"/>
    <n v="10"/>
  </r>
  <r>
    <s v="T1079"/>
    <d v="2026-01-22T00:00:00"/>
    <d v="1899-12-30T10:47:12"/>
    <x v="3"/>
    <n v="592"/>
    <s v="Failed"/>
    <s v="Network Error"/>
    <s v="M004"/>
    <n v="10"/>
  </r>
  <r>
    <s v="T1080"/>
    <d v="2026-01-21T00:00:00"/>
    <d v="1899-12-30T10:47:12"/>
    <x v="1"/>
    <n v="2162"/>
    <s v="Success"/>
    <s v="NA"/>
    <s v="M002"/>
    <n v="10"/>
  </r>
  <r>
    <s v="T1081"/>
    <d v="2026-02-04T00:00:00"/>
    <d v="1899-12-30T10:47:12"/>
    <x v="4"/>
    <n v="3984"/>
    <s v="Success"/>
    <s v="NA"/>
    <s v="M002"/>
    <n v="10"/>
  </r>
  <r>
    <s v="T1082"/>
    <d v="2026-01-20T00:00:00"/>
    <d v="1899-12-30T10:47:12"/>
    <x v="0"/>
    <n v="164"/>
    <s v="Success"/>
    <s v="NA"/>
    <s v="M005"/>
    <n v="10"/>
  </r>
  <r>
    <s v="T1083"/>
    <d v="2026-01-25T00:00:00"/>
    <d v="1899-12-30T10:47:12"/>
    <x v="1"/>
    <n v="2668"/>
    <s v="Success"/>
    <s v="NA"/>
    <s v="M004"/>
    <n v="10"/>
  </r>
  <r>
    <s v="T1084"/>
    <d v="2026-02-03T00:00:00"/>
    <d v="1899-12-30T10:47:12"/>
    <x v="0"/>
    <n v="2127"/>
    <s v="Success"/>
    <s v="NA"/>
    <s v="M001"/>
    <n v="10"/>
  </r>
  <r>
    <s v="T1085"/>
    <d v="2026-01-26T00:00:00"/>
    <d v="1899-12-30T10:47:12"/>
    <x v="0"/>
    <n v="2795"/>
    <s v="Success"/>
    <s v="NA"/>
    <s v="M005"/>
    <n v="10"/>
  </r>
  <r>
    <s v="T1086"/>
    <d v="2026-02-08T00:00:00"/>
    <d v="1899-12-30T10:47:12"/>
    <x v="4"/>
    <n v="1595"/>
    <s v="Success"/>
    <s v="NA"/>
    <s v="M002"/>
    <n v="10"/>
  </r>
  <r>
    <s v="T1087"/>
    <d v="2026-01-15T00:00:00"/>
    <d v="1899-12-30T10:47:12"/>
    <x v="0"/>
    <n v="491"/>
    <s v="Success"/>
    <s v="NA"/>
    <s v="M002"/>
    <n v="10"/>
  </r>
  <r>
    <s v="T1088"/>
    <d v="2026-01-29T00:00:00"/>
    <d v="1899-12-30T10:47:12"/>
    <x v="0"/>
    <n v="4614"/>
    <s v="Success"/>
    <s v="NA"/>
    <s v="M005"/>
    <n v="10"/>
  </r>
  <r>
    <s v="T1089"/>
    <d v="2026-01-25T00:00:00"/>
    <d v="1899-12-30T10:47:12"/>
    <x v="4"/>
    <n v="4574"/>
    <s v="Success"/>
    <s v="NA"/>
    <s v="M004"/>
    <n v="10"/>
  </r>
  <r>
    <s v="T1090"/>
    <d v="2026-01-17T00:00:00"/>
    <d v="1899-12-30T10:47:12"/>
    <x v="0"/>
    <n v="3661"/>
    <s v="Success"/>
    <s v="NA"/>
    <s v="M002"/>
    <n v="10"/>
  </r>
  <r>
    <s v="T1091"/>
    <d v="2026-01-26T00:00:00"/>
    <d v="1899-12-30T10:47:12"/>
    <x v="0"/>
    <n v="2378"/>
    <s v="Success"/>
    <s v="NA"/>
    <s v="M004"/>
    <n v="10"/>
  </r>
  <r>
    <s v="T1092"/>
    <d v="2026-01-19T00:00:00"/>
    <d v="1899-12-30T10:47:12"/>
    <x v="0"/>
    <n v="3199"/>
    <s v="Pending"/>
    <s v="NA"/>
    <s v="M002"/>
    <n v="10"/>
  </r>
  <r>
    <s v="T1093"/>
    <d v="2026-01-28T00:00:00"/>
    <d v="1899-12-30T10:47:12"/>
    <x v="1"/>
    <n v="300"/>
    <s v="Success"/>
    <s v="NA"/>
    <s v="M002"/>
    <n v="10"/>
  </r>
  <r>
    <s v="T1094"/>
    <d v="2026-01-12T00:00:00"/>
    <d v="1899-12-30T10:47:12"/>
    <x v="1"/>
    <n v="4975"/>
    <s v="Success"/>
    <s v="NA"/>
    <s v="M003"/>
    <n v="10"/>
  </r>
  <r>
    <s v="T1095"/>
    <d v="2026-02-06T00:00:00"/>
    <d v="1899-12-30T10:47:12"/>
    <x v="1"/>
    <n v="3204"/>
    <s v="Success"/>
    <s v="NA"/>
    <s v="M002"/>
    <n v="10"/>
  </r>
  <r>
    <s v="T1096"/>
    <d v="2026-01-19T00:00:00"/>
    <d v="1899-12-30T10:47:12"/>
    <x v="4"/>
    <n v="4698"/>
    <s v="Pending"/>
    <s v="NA"/>
    <s v="M001"/>
    <n v="10"/>
  </r>
  <r>
    <s v="T1097"/>
    <d v="2026-01-28T00:00:00"/>
    <d v="1899-12-30T10:47:12"/>
    <x v="3"/>
    <n v="2554"/>
    <s v="Failed"/>
    <s v="Insufficient Funds"/>
    <s v="M005"/>
    <n v="10"/>
  </r>
  <r>
    <s v="T1098"/>
    <d v="2026-01-13T00:00:00"/>
    <d v="1899-12-30T10:47:12"/>
    <x v="0"/>
    <n v="3745"/>
    <s v="Success"/>
    <s v="NA"/>
    <s v="M005"/>
    <n v="10"/>
  </r>
  <r>
    <s v="T1099"/>
    <d v="2026-01-25T00:00:00"/>
    <d v="1899-12-30T10:47:12"/>
    <x v="0"/>
    <n v="904"/>
    <s v="Success"/>
    <s v="NA"/>
    <s v="M004"/>
    <n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1000"/>
    <d v="2026-01-25T00:00:00"/>
    <d v="1899-12-30T10:47:12"/>
    <s v="Credit Card"/>
    <n v="960"/>
    <s v="Failed"/>
    <x v="0"/>
    <s v="M003"/>
    <n v="10"/>
  </r>
  <r>
    <s v="T1001"/>
    <d v="2026-01-13T00:00:00"/>
    <d v="1899-12-30T10:47:12"/>
    <s v="UPI"/>
    <n v="3872"/>
    <s v="Success"/>
    <x v="1"/>
    <s v="M002"/>
    <n v="10"/>
  </r>
  <r>
    <s v="T1002"/>
    <d v="2026-01-31T00:00:00"/>
    <d v="1899-12-30T10:47:12"/>
    <s v="Net Banking"/>
    <n v="3192"/>
    <s v="Failed"/>
    <x v="2"/>
    <s v="M001"/>
    <n v="10"/>
  </r>
  <r>
    <s v="T1003"/>
    <d v="2026-01-27T00:00:00"/>
    <d v="1899-12-30T10:47:12"/>
    <s v="Net Banking"/>
    <n v="566"/>
    <s v="Success"/>
    <x v="1"/>
    <s v="M005"/>
    <n v="10"/>
  </r>
  <r>
    <s v="T1004"/>
    <d v="2026-01-29T00:00:00"/>
    <d v="1899-12-30T10:47:12"/>
    <s v="UPI"/>
    <n v="4526"/>
    <s v="Success"/>
    <x v="1"/>
    <s v="M004"/>
    <n v="10"/>
  </r>
  <r>
    <s v="T1005"/>
    <d v="2026-01-27T00:00:00"/>
    <d v="1899-12-30T10:47:12"/>
    <s v="Credit Card"/>
    <n v="3544"/>
    <s v="Failed"/>
    <x v="3"/>
    <s v="M002"/>
    <n v="10"/>
  </r>
  <r>
    <s v="T1006"/>
    <d v="2026-01-13T00:00:00"/>
    <d v="1899-12-30T10:47:12"/>
    <s v="UPI"/>
    <n v="3271"/>
    <s v="Failed"/>
    <x v="4"/>
    <s v="M001"/>
    <n v="10"/>
  </r>
  <r>
    <s v="T1007"/>
    <d v="2026-02-08T00:00:00"/>
    <d v="1899-12-30T10:47:12"/>
    <s v="Net Banking"/>
    <n v="3019"/>
    <s v="Success"/>
    <x v="1"/>
    <s v="M004"/>
    <n v="10"/>
  </r>
  <r>
    <s v="T1008"/>
    <d v="2026-02-07T00:00:00"/>
    <d v="1899-12-30T10:47:12"/>
    <s v="Wallet"/>
    <n v="230"/>
    <s v="Failed"/>
    <x v="4"/>
    <s v="M005"/>
    <n v="10"/>
  </r>
  <r>
    <s v="T1009"/>
    <d v="2026-02-08T00:00:00"/>
    <d v="1899-12-30T10:47:12"/>
    <s v="Wallet"/>
    <n v="1785"/>
    <s v="Success"/>
    <x v="1"/>
    <s v="M004"/>
    <n v="10"/>
  </r>
  <r>
    <s v="T1010"/>
    <d v="2026-02-03T00:00:00"/>
    <d v="1899-12-30T10:47:12"/>
    <s v="Debit Card"/>
    <n v="869"/>
    <s v="Success"/>
    <x v="1"/>
    <s v="M001"/>
    <n v="10"/>
  </r>
  <r>
    <s v="T1011"/>
    <d v="2026-02-04T00:00:00"/>
    <d v="1899-12-30T10:47:12"/>
    <s v="UPI"/>
    <n v="2491"/>
    <s v="Success"/>
    <x v="1"/>
    <s v="M004"/>
    <n v="10"/>
  </r>
  <r>
    <s v="T1012"/>
    <d v="2026-02-08T00:00:00"/>
    <d v="1899-12-30T10:47:12"/>
    <s v="UPI"/>
    <n v="2533"/>
    <s v="Success"/>
    <x v="1"/>
    <s v="M003"/>
    <n v="10"/>
  </r>
  <r>
    <s v="T1013"/>
    <d v="2026-01-13T00:00:00"/>
    <d v="1899-12-30T10:47:12"/>
    <s v="Debit Card"/>
    <n v="1284"/>
    <s v="Success"/>
    <x v="1"/>
    <s v="M004"/>
    <n v="10"/>
  </r>
  <r>
    <s v="T1014"/>
    <d v="2026-02-08T00:00:00"/>
    <d v="1899-12-30T10:47:12"/>
    <s v="Debit Card"/>
    <n v="4655"/>
    <s v="Success"/>
    <x v="1"/>
    <s v="M002"/>
    <n v="10"/>
  </r>
  <r>
    <s v="T1015"/>
    <d v="2026-01-24T00:00:00"/>
    <d v="1899-12-30T10:47:12"/>
    <s v="Debit Card"/>
    <n v="3485"/>
    <s v="Success"/>
    <x v="1"/>
    <s v="M002"/>
    <n v="10"/>
  </r>
  <r>
    <s v="T1016"/>
    <d v="2026-02-04T00:00:00"/>
    <d v="1899-12-30T10:47:12"/>
    <s v="Net Banking"/>
    <n v="4217"/>
    <s v="Success"/>
    <x v="1"/>
    <s v="M003"/>
    <n v="10"/>
  </r>
  <r>
    <s v="T1017"/>
    <d v="2026-01-26T00:00:00"/>
    <d v="1899-12-30T10:47:12"/>
    <s v="UPI"/>
    <n v="4943"/>
    <s v="Success"/>
    <x v="1"/>
    <s v="M001"/>
    <n v="10"/>
  </r>
  <r>
    <s v="T1018"/>
    <d v="2026-01-26T00:00:00"/>
    <d v="1899-12-30T10:47:12"/>
    <s v="Net Banking"/>
    <n v="3004"/>
    <s v="Pending"/>
    <x v="1"/>
    <s v="M002"/>
    <n v="10"/>
  </r>
  <r>
    <s v="T1019"/>
    <d v="2026-02-02T00:00:00"/>
    <d v="1899-12-30T10:47:12"/>
    <s v="Debit Card"/>
    <n v="574"/>
    <s v="Success"/>
    <x v="1"/>
    <s v="M005"/>
    <n v="10"/>
  </r>
  <r>
    <s v="T1020"/>
    <d v="2026-02-07T00:00:00"/>
    <d v="1899-12-30T10:47:12"/>
    <s v="UPI"/>
    <n v="1182"/>
    <s v="Success"/>
    <x v="1"/>
    <s v="M002"/>
    <n v="10"/>
  </r>
  <r>
    <s v="T1021"/>
    <d v="2026-01-27T00:00:00"/>
    <d v="1899-12-30T10:47:12"/>
    <s v="Net Banking"/>
    <n v="2658"/>
    <s v="Failed"/>
    <x v="0"/>
    <s v="M002"/>
    <n v="10"/>
  </r>
  <r>
    <s v="T1022"/>
    <d v="2026-01-31T00:00:00"/>
    <d v="1899-12-30T10:47:12"/>
    <s v="Net Banking"/>
    <n v="2147"/>
    <s v="Success"/>
    <x v="1"/>
    <s v="M001"/>
    <n v="10"/>
  </r>
  <r>
    <s v="T1023"/>
    <d v="2026-02-07T00:00:00"/>
    <d v="1899-12-30T10:47:12"/>
    <s v="Debit Card"/>
    <n v="2847"/>
    <s v="Success"/>
    <x v="1"/>
    <s v="M004"/>
    <n v="10"/>
  </r>
  <r>
    <s v="T1024"/>
    <d v="2026-01-27T00:00:00"/>
    <d v="1899-12-30T10:47:12"/>
    <s v="UPI"/>
    <n v="1075"/>
    <s v="Success"/>
    <x v="1"/>
    <s v="M002"/>
    <n v="10"/>
  </r>
  <r>
    <s v="T1025"/>
    <d v="2026-01-13T00:00:00"/>
    <d v="1899-12-30T10:47:12"/>
    <s v="Debit Card"/>
    <n v="1906"/>
    <s v="Success"/>
    <x v="1"/>
    <s v="M003"/>
    <n v="10"/>
  </r>
  <r>
    <s v="T1026"/>
    <d v="2026-01-11T00:00:00"/>
    <d v="1899-12-30T10:47:12"/>
    <s v="UPI"/>
    <n v="289"/>
    <s v="Pending"/>
    <x v="1"/>
    <s v="M004"/>
    <n v="10"/>
  </r>
  <r>
    <s v="T1027"/>
    <d v="2026-01-10T00:00:00"/>
    <d v="1899-12-30T10:47:12"/>
    <s v="Wallet"/>
    <n v="2834"/>
    <s v="Failed"/>
    <x v="0"/>
    <s v="M005"/>
    <n v="10"/>
  </r>
  <r>
    <s v="T1028"/>
    <d v="2026-01-26T00:00:00"/>
    <d v="1899-12-30T10:47:12"/>
    <s v="Credit Card"/>
    <n v="3105"/>
    <s v="Success"/>
    <x v="1"/>
    <s v="M001"/>
    <n v="10"/>
  </r>
  <r>
    <s v="T1029"/>
    <d v="2026-01-18T00:00:00"/>
    <d v="1899-12-30T10:47:12"/>
    <s v="Credit Card"/>
    <n v="4758"/>
    <s v="Failed"/>
    <x v="2"/>
    <s v="M005"/>
    <n v="10"/>
  </r>
  <r>
    <s v="T1030"/>
    <d v="2026-02-07T00:00:00"/>
    <d v="1899-12-30T10:47:12"/>
    <s v="Credit Card"/>
    <n v="1999"/>
    <s v="Failed"/>
    <x v="3"/>
    <s v="M004"/>
    <n v="10"/>
  </r>
  <r>
    <s v="T1031"/>
    <d v="2026-01-11T00:00:00"/>
    <d v="1899-12-30T10:47:12"/>
    <s v="Debit Card"/>
    <n v="1367"/>
    <s v="Success"/>
    <x v="1"/>
    <s v="M004"/>
    <n v="10"/>
  </r>
  <r>
    <s v="T1032"/>
    <d v="2026-02-08T00:00:00"/>
    <d v="1899-12-30T10:47:12"/>
    <s v="Wallet"/>
    <n v="1628"/>
    <s v="Failed"/>
    <x v="2"/>
    <s v="M004"/>
    <n v="10"/>
  </r>
  <r>
    <s v="T1033"/>
    <d v="2026-02-03T00:00:00"/>
    <d v="1899-12-30T10:47:12"/>
    <s v="UPI"/>
    <n v="3302"/>
    <s v="Success"/>
    <x v="1"/>
    <s v="M005"/>
    <n v="10"/>
  </r>
  <r>
    <s v="T1034"/>
    <d v="2026-01-30T00:00:00"/>
    <d v="1899-12-30T10:47:12"/>
    <s v="Net Banking"/>
    <n v="3656"/>
    <s v="Failed"/>
    <x v="2"/>
    <s v="M004"/>
    <n v="10"/>
  </r>
  <r>
    <s v="T1035"/>
    <d v="2026-02-07T00:00:00"/>
    <d v="1899-12-30T10:47:12"/>
    <s v="UPI"/>
    <n v="3990"/>
    <s v="Failed"/>
    <x v="2"/>
    <s v="M005"/>
    <n v="10"/>
  </r>
  <r>
    <s v="T1036"/>
    <d v="2026-02-05T00:00:00"/>
    <d v="1899-12-30T10:47:12"/>
    <s v="Net Banking"/>
    <n v="746"/>
    <s v="Success"/>
    <x v="1"/>
    <s v="M004"/>
    <n v="10"/>
  </r>
  <r>
    <s v="T1037"/>
    <d v="2026-01-15T00:00:00"/>
    <d v="1899-12-30T10:47:12"/>
    <s v="UPI"/>
    <n v="2988"/>
    <s v="Success"/>
    <x v="1"/>
    <s v="M003"/>
    <n v="10"/>
  </r>
  <r>
    <s v="T1038"/>
    <d v="2026-01-14T00:00:00"/>
    <d v="1899-12-30T10:47:12"/>
    <s v="Wallet"/>
    <n v="2535"/>
    <s v="Success"/>
    <x v="1"/>
    <s v="M004"/>
    <n v="10"/>
  </r>
  <r>
    <s v="T1039"/>
    <d v="2026-01-18T00:00:00"/>
    <d v="1899-12-30T10:47:12"/>
    <s v="Net Banking"/>
    <n v="700"/>
    <s v="Success"/>
    <x v="1"/>
    <s v="M005"/>
    <n v="10"/>
  </r>
  <r>
    <s v="T1040"/>
    <d v="2026-01-27T00:00:00"/>
    <d v="1899-12-30T10:47:12"/>
    <s v="Debit Card"/>
    <n v="2463"/>
    <s v="Failed"/>
    <x v="4"/>
    <s v="M002"/>
    <n v="10"/>
  </r>
  <r>
    <s v="T1041"/>
    <d v="2026-01-26T00:00:00"/>
    <d v="1899-12-30T10:47:12"/>
    <s v="UPI"/>
    <n v="2161"/>
    <s v="Failed"/>
    <x v="3"/>
    <s v="M004"/>
    <n v="10"/>
  </r>
  <r>
    <s v="T1042"/>
    <d v="2026-01-15T00:00:00"/>
    <d v="1899-12-30T10:47:12"/>
    <s v="UPI"/>
    <n v="341"/>
    <s v="Success"/>
    <x v="1"/>
    <s v="M002"/>
    <n v="10"/>
  </r>
  <r>
    <s v="T1043"/>
    <d v="2026-01-12T00:00:00"/>
    <d v="1899-12-30T10:47:12"/>
    <s v="Net Banking"/>
    <n v="2141"/>
    <s v="Success"/>
    <x v="1"/>
    <s v="M003"/>
    <n v="10"/>
  </r>
  <r>
    <s v="T1044"/>
    <d v="2026-01-15T00:00:00"/>
    <d v="1899-12-30T10:47:12"/>
    <s v="Debit Card"/>
    <n v="2924"/>
    <s v="Success"/>
    <x v="1"/>
    <s v="M001"/>
    <n v="10"/>
  </r>
  <r>
    <s v="T1045"/>
    <d v="2026-02-06T00:00:00"/>
    <d v="1899-12-30T10:47:12"/>
    <s v="Debit Card"/>
    <n v="2712"/>
    <s v="Success"/>
    <x v="1"/>
    <s v="M003"/>
    <n v="10"/>
  </r>
  <r>
    <s v="T1046"/>
    <d v="2026-01-18T00:00:00"/>
    <d v="1899-12-30T10:47:12"/>
    <s v="Wallet"/>
    <n v="1463"/>
    <s v="Success"/>
    <x v="1"/>
    <s v="M004"/>
    <n v="10"/>
  </r>
  <r>
    <s v="T1047"/>
    <d v="2026-01-30T00:00:00"/>
    <d v="1899-12-30T10:47:12"/>
    <s v="Debit Card"/>
    <n v="1578"/>
    <s v="Success"/>
    <x v="1"/>
    <s v="M002"/>
    <n v="10"/>
  </r>
  <r>
    <s v="T1048"/>
    <d v="2026-01-20T00:00:00"/>
    <d v="1899-12-30T10:47:12"/>
    <s v="Debit Card"/>
    <n v="2656"/>
    <s v="Pending"/>
    <x v="1"/>
    <s v="M002"/>
    <n v="10"/>
  </r>
  <r>
    <s v="T1049"/>
    <d v="2026-02-02T00:00:00"/>
    <d v="1899-12-30T10:47:12"/>
    <s v="Debit Card"/>
    <n v="875"/>
    <s v="Success"/>
    <x v="1"/>
    <s v="M005"/>
    <n v="10"/>
  </r>
  <r>
    <s v="T1050"/>
    <d v="2026-01-26T00:00:00"/>
    <d v="1899-12-30T10:47:12"/>
    <s v="Credit Card"/>
    <n v="4114"/>
    <s v="Success"/>
    <x v="1"/>
    <s v="M002"/>
    <n v="10"/>
  </r>
  <r>
    <s v="T1051"/>
    <d v="2026-01-22T00:00:00"/>
    <d v="1899-12-30T10:47:12"/>
    <s v="Wallet"/>
    <n v="134"/>
    <s v="Failed"/>
    <x v="4"/>
    <s v="M005"/>
    <n v="10"/>
  </r>
  <r>
    <s v="T1052"/>
    <d v="2026-01-29T00:00:00"/>
    <d v="1899-12-30T10:47:12"/>
    <s v="UPI"/>
    <n v="3252"/>
    <s v="Success"/>
    <x v="1"/>
    <s v="M001"/>
    <n v="10"/>
  </r>
  <r>
    <s v="T1053"/>
    <d v="2026-01-13T00:00:00"/>
    <d v="1899-12-30T10:47:12"/>
    <s v="Net Banking"/>
    <n v="2055"/>
    <s v="Pending"/>
    <x v="1"/>
    <s v="M004"/>
    <n v="10"/>
  </r>
  <r>
    <s v="T1054"/>
    <d v="2026-01-23T00:00:00"/>
    <d v="1899-12-30T10:47:12"/>
    <s v="UPI"/>
    <n v="1685"/>
    <s v="Pending"/>
    <x v="1"/>
    <s v="M005"/>
    <n v="10"/>
  </r>
  <r>
    <s v="T1055"/>
    <d v="2026-02-07T00:00:00"/>
    <d v="1899-12-30T10:47:12"/>
    <s v="Wallet"/>
    <n v="4043"/>
    <s v="Success"/>
    <x v="1"/>
    <s v="M001"/>
    <n v="10"/>
  </r>
  <r>
    <s v="T1056"/>
    <d v="2026-01-14T00:00:00"/>
    <d v="1899-12-30T10:47:12"/>
    <s v="Net Banking"/>
    <n v="3173"/>
    <s v="Success"/>
    <x v="1"/>
    <s v="M002"/>
    <n v="10"/>
  </r>
  <r>
    <s v="T1057"/>
    <d v="2026-01-13T00:00:00"/>
    <d v="1899-12-30T10:47:12"/>
    <s v="Wallet"/>
    <n v="1121"/>
    <s v="Success"/>
    <x v="1"/>
    <s v="M002"/>
    <n v="10"/>
  </r>
  <r>
    <s v="T1058"/>
    <d v="2026-01-23T00:00:00"/>
    <d v="1899-12-30T10:47:12"/>
    <s v="Debit Card"/>
    <n v="3561"/>
    <s v="Success"/>
    <x v="1"/>
    <s v="M001"/>
    <n v="10"/>
  </r>
  <r>
    <s v="T1059"/>
    <d v="2026-01-19T00:00:00"/>
    <d v="1899-12-30T10:47:12"/>
    <s v="Net Banking"/>
    <n v="2713"/>
    <s v="Success"/>
    <x v="1"/>
    <s v="M002"/>
    <n v="10"/>
  </r>
  <r>
    <s v="T1060"/>
    <d v="2026-01-13T00:00:00"/>
    <d v="1899-12-30T10:47:12"/>
    <s v="Debit Card"/>
    <n v="3943"/>
    <s v="Success"/>
    <x v="1"/>
    <s v="M001"/>
    <n v="10"/>
  </r>
  <r>
    <s v="T1061"/>
    <d v="2026-01-24T00:00:00"/>
    <d v="1899-12-30T10:47:12"/>
    <s v="UPI"/>
    <n v="1600"/>
    <s v="Success"/>
    <x v="1"/>
    <s v="M005"/>
    <n v="10"/>
  </r>
  <r>
    <s v="T1062"/>
    <d v="2026-01-12T00:00:00"/>
    <d v="1899-12-30T10:47:12"/>
    <s v="UPI"/>
    <n v="4898"/>
    <s v="Success"/>
    <x v="1"/>
    <s v="M005"/>
    <n v="10"/>
  </r>
  <r>
    <s v="T1063"/>
    <d v="2026-02-04T00:00:00"/>
    <d v="1899-12-30T10:47:12"/>
    <s v="Net Banking"/>
    <n v="261"/>
    <s v="Success"/>
    <x v="1"/>
    <s v="M001"/>
    <n v="10"/>
  </r>
  <r>
    <s v="T1064"/>
    <d v="2026-01-23T00:00:00"/>
    <d v="1899-12-30T10:47:12"/>
    <s v="Net Banking"/>
    <n v="4397"/>
    <s v="Pending"/>
    <x v="1"/>
    <s v="M005"/>
    <n v="10"/>
  </r>
  <r>
    <s v="T1065"/>
    <d v="2026-01-24T00:00:00"/>
    <d v="1899-12-30T10:47:12"/>
    <s v="Wallet"/>
    <n v="2081"/>
    <s v="Success"/>
    <x v="1"/>
    <s v="M005"/>
    <n v="10"/>
  </r>
  <r>
    <s v="T1066"/>
    <d v="2026-02-02T00:00:00"/>
    <d v="1899-12-30T10:47:12"/>
    <s v="Wallet"/>
    <n v="1095"/>
    <s v="Success"/>
    <x v="1"/>
    <s v="M005"/>
    <n v="10"/>
  </r>
  <r>
    <s v="T1067"/>
    <d v="2026-01-25T00:00:00"/>
    <d v="1899-12-30T10:47:12"/>
    <s v="Debit Card"/>
    <n v="3442"/>
    <s v="Success"/>
    <x v="1"/>
    <s v="M003"/>
    <n v="10"/>
  </r>
  <r>
    <s v="T1068"/>
    <d v="2026-01-16T00:00:00"/>
    <d v="1899-12-30T10:47:12"/>
    <s v="Net Banking"/>
    <n v="4651"/>
    <s v="Pending"/>
    <x v="1"/>
    <s v="M004"/>
    <n v="10"/>
  </r>
  <r>
    <s v="T1069"/>
    <d v="2026-01-25T00:00:00"/>
    <d v="1899-12-30T10:47:12"/>
    <s v="UPI"/>
    <n v="3898"/>
    <s v="Success"/>
    <x v="1"/>
    <s v="M002"/>
    <n v="10"/>
  </r>
  <r>
    <s v="T1070"/>
    <d v="2026-01-19T00:00:00"/>
    <d v="1899-12-30T10:47:12"/>
    <s v="Wallet"/>
    <n v="1375"/>
    <s v="Success"/>
    <x v="1"/>
    <s v="M003"/>
    <n v="10"/>
  </r>
  <r>
    <s v="T1071"/>
    <d v="2026-01-26T00:00:00"/>
    <d v="1899-12-30T10:47:12"/>
    <s v="Wallet"/>
    <n v="1116"/>
    <s v="Failed"/>
    <x v="2"/>
    <s v="M005"/>
    <n v="10"/>
  </r>
  <r>
    <s v="T1072"/>
    <d v="2026-01-21T00:00:00"/>
    <d v="1899-12-30T10:47:12"/>
    <s v="UPI"/>
    <n v="437"/>
    <s v="Success"/>
    <x v="1"/>
    <s v="M001"/>
    <n v="10"/>
  </r>
  <r>
    <s v="T1073"/>
    <d v="2026-01-21T00:00:00"/>
    <d v="1899-12-30T10:47:12"/>
    <s v="Wallet"/>
    <n v="978"/>
    <s v="Failed"/>
    <x v="4"/>
    <s v="M005"/>
    <n v="10"/>
  </r>
  <r>
    <s v="T1074"/>
    <d v="2026-02-08T00:00:00"/>
    <d v="1899-12-30T10:47:12"/>
    <s v="Debit Card"/>
    <n v="1176"/>
    <s v="Success"/>
    <x v="1"/>
    <s v="M004"/>
    <n v="10"/>
  </r>
  <r>
    <s v="T1075"/>
    <d v="2026-02-03T00:00:00"/>
    <d v="1899-12-30T10:47:12"/>
    <s v="Net Banking"/>
    <n v="4987"/>
    <s v="Success"/>
    <x v="1"/>
    <s v="M005"/>
    <n v="10"/>
  </r>
  <r>
    <s v="T1076"/>
    <d v="2026-01-13T00:00:00"/>
    <d v="1899-12-30T10:47:12"/>
    <s v="UPI"/>
    <n v="4093"/>
    <s v="Success"/>
    <x v="1"/>
    <s v="M001"/>
    <n v="10"/>
  </r>
  <r>
    <s v="T1077"/>
    <d v="2026-02-05T00:00:00"/>
    <d v="1899-12-30T10:47:12"/>
    <s v="Net Banking"/>
    <n v="4959"/>
    <s v="Success"/>
    <x v="1"/>
    <s v="M004"/>
    <n v="10"/>
  </r>
  <r>
    <s v="T1078"/>
    <d v="2026-01-27T00:00:00"/>
    <d v="1899-12-30T10:47:12"/>
    <s v="Wallet"/>
    <n v="479"/>
    <s v="Success"/>
    <x v="1"/>
    <s v="M005"/>
    <n v="10"/>
  </r>
  <r>
    <s v="T1079"/>
    <d v="2026-01-22T00:00:00"/>
    <d v="1899-12-30T10:47:12"/>
    <s v="Wallet"/>
    <n v="592"/>
    <s v="Failed"/>
    <x v="0"/>
    <s v="M004"/>
    <n v="10"/>
  </r>
  <r>
    <s v="T1080"/>
    <d v="2026-01-21T00:00:00"/>
    <d v="1899-12-30T10:47:12"/>
    <s v="UPI"/>
    <n v="2162"/>
    <s v="Success"/>
    <x v="1"/>
    <s v="M002"/>
    <n v="10"/>
  </r>
  <r>
    <s v="T1081"/>
    <d v="2026-02-04T00:00:00"/>
    <d v="1899-12-30T10:47:12"/>
    <s v="Debit Card"/>
    <n v="3984"/>
    <s v="Success"/>
    <x v="1"/>
    <s v="M002"/>
    <n v="10"/>
  </r>
  <r>
    <s v="T1082"/>
    <d v="2026-01-20T00:00:00"/>
    <d v="1899-12-30T10:47:12"/>
    <s v="Credit Card"/>
    <n v="164"/>
    <s v="Success"/>
    <x v="1"/>
    <s v="M005"/>
    <n v="10"/>
  </r>
  <r>
    <s v="T1083"/>
    <d v="2026-01-25T00:00:00"/>
    <d v="1899-12-30T10:47:12"/>
    <s v="UPI"/>
    <n v="2668"/>
    <s v="Success"/>
    <x v="1"/>
    <s v="M004"/>
    <n v="10"/>
  </r>
  <r>
    <s v="T1084"/>
    <d v="2026-02-03T00:00:00"/>
    <d v="1899-12-30T10:47:12"/>
    <s v="Credit Card"/>
    <n v="2127"/>
    <s v="Success"/>
    <x v="1"/>
    <s v="M001"/>
    <n v="10"/>
  </r>
  <r>
    <s v="T1085"/>
    <d v="2026-01-26T00:00:00"/>
    <d v="1899-12-30T10:47:12"/>
    <s v="Credit Card"/>
    <n v="2795"/>
    <s v="Success"/>
    <x v="1"/>
    <s v="M005"/>
    <n v="10"/>
  </r>
  <r>
    <s v="T1086"/>
    <d v="2026-02-08T00:00:00"/>
    <d v="1899-12-30T10:47:12"/>
    <s v="Debit Card"/>
    <n v="1595"/>
    <s v="Success"/>
    <x v="1"/>
    <s v="M002"/>
    <n v="10"/>
  </r>
  <r>
    <s v="T1087"/>
    <d v="2026-01-15T00:00:00"/>
    <d v="1899-12-30T10:47:12"/>
    <s v="Credit Card"/>
    <n v="491"/>
    <s v="Success"/>
    <x v="1"/>
    <s v="M002"/>
    <n v="10"/>
  </r>
  <r>
    <s v="T1088"/>
    <d v="2026-01-29T00:00:00"/>
    <d v="1899-12-30T10:47:12"/>
    <s v="Credit Card"/>
    <n v="4614"/>
    <s v="Success"/>
    <x v="1"/>
    <s v="M005"/>
    <n v="10"/>
  </r>
  <r>
    <s v="T1089"/>
    <d v="2026-01-25T00:00:00"/>
    <d v="1899-12-30T10:47:12"/>
    <s v="Debit Card"/>
    <n v="4574"/>
    <s v="Success"/>
    <x v="1"/>
    <s v="M004"/>
    <n v="10"/>
  </r>
  <r>
    <s v="T1090"/>
    <d v="2026-01-17T00:00:00"/>
    <d v="1899-12-30T10:47:12"/>
    <s v="Credit Card"/>
    <n v="3661"/>
    <s v="Success"/>
    <x v="1"/>
    <s v="M002"/>
    <n v="10"/>
  </r>
  <r>
    <s v="T1091"/>
    <d v="2026-01-26T00:00:00"/>
    <d v="1899-12-30T10:47:12"/>
    <s v="Credit Card"/>
    <n v="2378"/>
    <s v="Success"/>
    <x v="1"/>
    <s v="M004"/>
    <n v="10"/>
  </r>
  <r>
    <s v="T1092"/>
    <d v="2026-01-19T00:00:00"/>
    <d v="1899-12-30T10:47:12"/>
    <s v="Credit Card"/>
    <n v="3199"/>
    <s v="Pending"/>
    <x v="1"/>
    <s v="M002"/>
    <n v="10"/>
  </r>
  <r>
    <s v="T1093"/>
    <d v="2026-01-28T00:00:00"/>
    <d v="1899-12-30T10:47:12"/>
    <s v="UPI"/>
    <n v="300"/>
    <s v="Success"/>
    <x v="1"/>
    <s v="M002"/>
    <n v="10"/>
  </r>
  <r>
    <s v="T1094"/>
    <d v="2026-01-12T00:00:00"/>
    <d v="1899-12-30T10:47:12"/>
    <s v="UPI"/>
    <n v="4975"/>
    <s v="Success"/>
    <x v="1"/>
    <s v="M003"/>
    <n v="10"/>
  </r>
  <r>
    <s v="T1095"/>
    <d v="2026-02-06T00:00:00"/>
    <d v="1899-12-30T10:47:12"/>
    <s v="UPI"/>
    <n v="3204"/>
    <s v="Success"/>
    <x v="1"/>
    <s v="M002"/>
    <n v="10"/>
  </r>
  <r>
    <s v="T1096"/>
    <d v="2026-01-19T00:00:00"/>
    <d v="1899-12-30T10:47:12"/>
    <s v="Debit Card"/>
    <n v="4698"/>
    <s v="Pending"/>
    <x v="1"/>
    <s v="M001"/>
    <n v="10"/>
  </r>
  <r>
    <s v="T1097"/>
    <d v="2026-01-28T00:00:00"/>
    <d v="1899-12-30T10:47:12"/>
    <s v="Wallet"/>
    <n v="2554"/>
    <s v="Failed"/>
    <x v="2"/>
    <s v="M005"/>
    <n v="10"/>
  </r>
  <r>
    <s v="T1098"/>
    <d v="2026-01-13T00:00:00"/>
    <d v="1899-12-30T10:47:12"/>
    <s v="Credit Card"/>
    <n v="3745"/>
    <s v="Success"/>
    <x v="1"/>
    <s v="M005"/>
    <n v="10"/>
  </r>
  <r>
    <s v="T1099"/>
    <d v="2026-01-25T00:00:00"/>
    <d v="1899-12-30T10:47:12"/>
    <s v="Credit Card"/>
    <n v="904"/>
    <s v="Success"/>
    <x v="1"/>
    <s v="M004"/>
    <n v="1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1000"/>
    <d v="2026-01-25T00:00:00"/>
    <d v="1899-12-30T10:47:12"/>
    <s v="Credit Card"/>
    <n v="960"/>
    <x v="0"/>
    <s v="Network Error"/>
    <s v="M003"/>
    <n v="10"/>
  </r>
  <r>
    <s v="T1001"/>
    <d v="2026-01-13T00:00:00"/>
    <d v="1899-12-30T10:47:12"/>
    <s v="UPI"/>
    <n v="3872"/>
    <x v="1"/>
    <s v="NA"/>
    <s v="M002"/>
    <n v="10"/>
  </r>
  <r>
    <s v="T1002"/>
    <d v="2026-01-31T00:00:00"/>
    <d v="1899-12-30T10:47:12"/>
    <s v="Net Banking"/>
    <n v="3192"/>
    <x v="0"/>
    <s v="Insufficient Funds"/>
    <s v="M001"/>
    <n v="10"/>
  </r>
  <r>
    <s v="T1003"/>
    <d v="2026-01-27T00:00:00"/>
    <d v="1899-12-30T10:47:12"/>
    <s v="Net Banking"/>
    <n v="566"/>
    <x v="1"/>
    <s v="NA"/>
    <s v="M005"/>
    <n v="10"/>
  </r>
  <r>
    <s v="T1004"/>
    <d v="2026-01-29T00:00:00"/>
    <d v="1899-12-30T10:47:12"/>
    <s v="UPI"/>
    <n v="4526"/>
    <x v="1"/>
    <s v="NA"/>
    <s v="M004"/>
    <n v="10"/>
  </r>
  <r>
    <s v="T1005"/>
    <d v="2026-01-27T00:00:00"/>
    <d v="1899-12-30T10:47:12"/>
    <s v="Credit Card"/>
    <n v="3544"/>
    <x v="0"/>
    <s v="Fraud"/>
    <s v="M002"/>
    <n v="10"/>
  </r>
  <r>
    <s v="T1006"/>
    <d v="2026-01-13T00:00:00"/>
    <d v="1899-12-30T10:47:12"/>
    <s v="UPI"/>
    <n v="3271"/>
    <x v="0"/>
    <s v="Timeout"/>
    <s v="M001"/>
    <n v="10"/>
  </r>
  <r>
    <s v="T1007"/>
    <d v="2026-02-08T00:00:00"/>
    <d v="1899-12-30T10:47:12"/>
    <s v="Net Banking"/>
    <n v="3019"/>
    <x v="1"/>
    <s v="NA"/>
    <s v="M004"/>
    <n v="10"/>
  </r>
  <r>
    <s v="T1008"/>
    <d v="2026-02-07T00:00:00"/>
    <d v="1899-12-30T10:47:12"/>
    <s v="Wallet"/>
    <n v="230"/>
    <x v="0"/>
    <s v="Timeout"/>
    <s v="M005"/>
    <n v="10"/>
  </r>
  <r>
    <s v="T1009"/>
    <d v="2026-02-08T00:00:00"/>
    <d v="1899-12-30T10:47:12"/>
    <s v="Wallet"/>
    <n v="1785"/>
    <x v="1"/>
    <s v="NA"/>
    <s v="M004"/>
    <n v="10"/>
  </r>
  <r>
    <s v="T1010"/>
    <d v="2026-02-03T00:00:00"/>
    <d v="1899-12-30T10:47:12"/>
    <s v="Debit Card"/>
    <n v="869"/>
    <x v="1"/>
    <s v="NA"/>
    <s v="M001"/>
    <n v="10"/>
  </r>
  <r>
    <s v="T1011"/>
    <d v="2026-02-04T00:00:00"/>
    <d v="1899-12-30T10:47:12"/>
    <s v="UPI"/>
    <n v="2491"/>
    <x v="1"/>
    <s v="NA"/>
    <s v="M004"/>
    <n v="10"/>
  </r>
  <r>
    <s v="T1012"/>
    <d v="2026-02-08T00:00:00"/>
    <d v="1899-12-30T10:47:12"/>
    <s v="UPI"/>
    <n v="2533"/>
    <x v="1"/>
    <s v="NA"/>
    <s v="M003"/>
    <n v="10"/>
  </r>
  <r>
    <s v="T1013"/>
    <d v="2026-01-13T00:00:00"/>
    <d v="1899-12-30T10:47:12"/>
    <s v="Debit Card"/>
    <n v="1284"/>
    <x v="1"/>
    <s v="NA"/>
    <s v="M004"/>
    <n v="10"/>
  </r>
  <r>
    <s v="T1014"/>
    <d v="2026-02-08T00:00:00"/>
    <d v="1899-12-30T10:47:12"/>
    <s v="Debit Card"/>
    <n v="4655"/>
    <x v="1"/>
    <s v="NA"/>
    <s v="M002"/>
    <n v="10"/>
  </r>
  <r>
    <s v="T1015"/>
    <d v="2026-01-24T00:00:00"/>
    <d v="1899-12-30T10:47:12"/>
    <s v="Debit Card"/>
    <n v="3485"/>
    <x v="1"/>
    <s v="NA"/>
    <s v="M002"/>
    <n v="10"/>
  </r>
  <r>
    <s v="T1016"/>
    <d v="2026-02-04T00:00:00"/>
    <d v="1899-12-30T10:47:12"/>
    <s v="Net Banking"/>
    <n v="4217"/>
    <x v="1"/>
    <s v="NA"/>
    <s v="M003"/>
    <n v="10"/>
  </r>
  <r>
    <s v="T1017"/>
    <d v="2026-01-26T00:00:00"/>
    <d v="1899-12-30T10:47:12"/>
    <s v="UPI"/>
    <n v="4943"/>
    <x v="1"/>
    <s v="NA"/>
    <s v="M001"/>
    <n v="10"/>
  </r>
  <r>
    <s v="T1018"/>
    <d v="2026-01-26T00:00:00"/>
    <d v="1899-12-30T10:47:12"/>
    <s v="Net Banking"/>
    <n v="3004"/>
    <x v="2"/>
    <s v="NA"/>
    <s v="M002"/>
    <n v="10"/>
  </r>
  <r>
    <s v="T1019"/>
    <d v="2026-02-02T00:00:00"/>
    <d v="1899-12-30T10:47:12"/>
    <s v="Debit Card"/>
    <n v="574"/>
    <x v="1"/>
    <s v="NA"/>
    <s v="M005"/>
    <n v="10"/>
  </r>
  <r>
    <s v="T1020"/>
    <d v="2026-02-07T00:00:00"/>
    <d v="1899-12-30T10:47:12"/>
    <s v="UPI"/>
    <n v="1182"/>
    <x v="1"/>
    <s v="NA"/>
    <s v="M002"/>
    <n v="10"/>
  </r>
  <r>
    <s v="T1021"/>
    <d v="2026-01-27T00:00:00"/>
    <d v="1899-12-30T10:47:12"/>
    <s v="Net Banking"/>
    <n v="2658"/>
    <x v="0"/>
    <s v="Network Error"/>
    <s v="M002"/>
    <n v="10"/>
  </r>
  <r>
    <s v="T1022"/>
    <d v="2026-01-31T00:00:00"/>
    <d v="1899-12-30T10:47:12"/>
    <s v="Net Banking"/>
    <n v="2147"/>
    <x v="1"/>
    <s v="NA"/>
    <s v="M001"/>
    <n v="10"/>
  </r>
  <r>
    <s v="T1023"/>
    <d v="2026-02-07T00:00:00"/>
    <d v="1899-12-30T10:47:12"/>
    <s v="Debit Card"/>
    <n v="2847"/>
    <x v="1"/>
    <s v="NA"/>
    <s v="M004"/>
    <n v="10"/>
  </r>
  <r>
    <s v="T1024"/>
    <d v="2026-01-27T00:00:00"/>
    <d v="1899-12-30T10:47:12"/>
    <s v="UPI"/>
    <n v="1075"/>
    <x v="1"/>
    <s v="NA"/>
    <s v="M002"/>
    <n v="10"/>
  </r>
  <r>
    <s v="T1025"/>
    <d v="2026-01-13T00:00:00"/>
    <d v="1899-12-30T10:47:12"/>
    <s v="Debit Card"/>
    <n v="1906"/>
    <x v="1"/>
    <s v="NA"/>
    <s v="M003"/>
    <n v="10"/>
  </r>
  <r>
    <s v="T1026"/>
    <d v="2026-01-11T00:00:00"/>
    <d v="1899-12-30T10:47:12"/>
    <s v="UPI"/>
    <n v="289"/>
    <x v="2"/>
    <s v="NA"/>
    <s v="M004"/>
    <n v="10"/>
  </r>
  <r>
    <s v="T1027"/>
    <d v="2026-01-10T00:00:00"/>
    <d v="1899-12-30T10:47:12"/>
    <s v="Wallet"/>
    <n v="2834"/>
    <x v="0"/>
    <s v="Network Error"/>
    <s v="M005"/>
    <n v="10"/>
  </r>
  <r>
    <s v="T1028"/>
    <d v="2026-01-26T00:00:00"/>
    <d v="1899-12-30T10:47:12"/>
    <s v="Credit Card"/>
    <n v="3105"/>
    <x v="1"/>
    <s v="NA"/>
    <s v="M001"/>
    <n v="10"/>
  </r>
  <r>
    <s v="T1029"/>
    <d v="2026-01-18T00:00:00"/>
    <d v="1899-12-30T10:47:12"/>
    <s v="Credit Card"/>
    <n v="4758"/>
    <x v="0"/>
    <s v="Insufficient Funds"/>
    <s v="M005"/>
    <n v="10"/>
  </r>
  <r>
    <s v="T1030"/>
    <d v="2026-02-07T00:00:00"/>
    <d v="1899-12-30T10:47:12"/>
    <s v="Credit Card"/>
    <n v="1999"/>
    <x v="0"/>
    <s v="Fraud"/>
    <s v="M004"/>
    <n v="10"/>
  </r>
  <r>
    <s v="T1031"/>
    <d v="2026-01-11T00:00:00"/>
    <d v="1899-12-30T10:47:12"/>
    <s v="Debit Card"/>
    <n v="1367"/>
    <x v="1"/>
    <s v="NA"/>
    <s v="M004"/>
    <n v="10"/>
  </r>
  <r>
    <s v="T1032"/>
    <d v="2026-02-08T00:00:00"/>
    <d v="1899-12-30T10:47:12"/>
    <s v="Wallet"/>
    <n v="1628"/>
    <x v="0"/>
    <s v="Insufficient Funds"/>
    <s v="M004"/>
    <n v="10"/>
  </r>
  <r>
    <s v="T1033"/>
    <d v="2026-02-03T00:00:00"/>
    <d v="1899-12-30T10:47:12"/>
    <s v="UPI"/>
    <n v="3302"/>
    <x v="1"/>
    <s v="NA"/>
    <s v="M005"/>
    <n v="10"/>
  </r>
  <r>
    <s v="T1034"/>
    <d v="2026-01-30T00:00:00"/>
    <d v="1899-12-30T10:47:12"/>
    <s v="Net Banking"/>
    <n v="3656"/>
    <x v="0"/>
    <s v="Insufficient Funds"/>
    <s v="M004"/>
    <n v="10"/>
  </r>
  <r>
    <s v="T1035"/>
    <d v="2026-02-07T00:00:00"/>
    <d v="1899-12-30T10:47:12"/>
    <s v="UPI"/>
    <n v="3990"/>
    <x v="0"/>
    <s v="Insufficient Funds"/>
    <s v="M005"/>
    <n v="10"/>
  </r>
  <r>
    <s v="T1036"/>
    <d v="2026-02-05T00:00:00"/>
    <d v="1899-12-30T10:47:12"/>
    <s v="Net Banking"/>
    <n v="746"/>
    <x v="1"/>
    <s v="NA"/>
    <s v="M004"/>
    <n v="10"/>
  </r>
  <r>
    <s v="T1037"/>
    <d v="2026-01-15T00:00:00"/>
    <d v="1899-12-30T10:47:12"/>
    <s v="UPI"/>
    <n v="2988"/>
    <x v="1"/>
    <s v="NA"/>
    <s v="M003"/>
    <n v="10"/>
  </r>
  <r>
    <s v="T1038"/>
    <d v="2026-01-14T00:00:00"/>
    <d v="1899-12-30T10:47:12"/>
    <s v="Wallet"/>
    <n v="2535"/>
    <x v="1"/>
    <s v="NA"/>
    <s v="M004"/>
    <n v="10"/>
  </r>
  <r>
    <s v="T1039"/>
    <d v="2026-01-18T00:00:00"/>
    <d v="1899-12-30T10:47:12"/>
    <s v="Net Banking"/>
    <n v="700"/>
    <x v="1"/>
    <s v="NA"/>
    <s v="M005"/>
    <n v="10"/>
  </r>
  <r>
    <s v="T1040"/>
    <d v="2026-01-27T00:00:00"/>
    <d v="1899-12-30T10:47:12"/>
    <s v="Debit Card"/>
    <n v="2463"/>
    <x v="0"/>
    <s v="Timeout"/>
    <s v="M002"/>
    <n v="10"/>
  </r>
  <r>
    <s v="T1041"/>
    <d v="2026-01-26T00:00:00"/>
    <d v="1899-12-30T10:47:12"/>
    <s v="UPI"/>
    <n v="2161"/>
    <x v="0"/>
    <s v="Fraud"/>
    <s v="M004"/>
    <n v="10"/>
  </r>
  <r>
    <s v="T1042"/>
    <d v="2026-01-15T00:00:00"/>
    <d v="1899-12-30T10:47:12"/>
    <s v="UPI"/>
    <n v="341"/>
    <x v="1"/>
    <s v="NA"/>
    <s v="M002"/>
    <n v="10"/>
  </r>
  <r>
    <s v="T1043"/>
    <d v="2026-01-12T00:00:00"/>
    <d v="1899-12-30T10:47:12"/>
    <s v="Net Banking"/>
    <n v="2141"/>
    <x v="1"/>
    <s v="NA"/>
    <s v="M003"/>
    <n v="10"/>
  </r>
  <r>
    <s v="T1044"/>
    <d v="2026-01-15T00:00:00"/>
    <d v="1899-12-30T10:47:12"/>
    <s v="Debit Card"/>
    <n v="2924"/>
    <x v="1"/>
    <s v="NA"/>
    <s v="M001"/>
    <n v="10"/>
  </r>
  <r>
    <s v="T1045"/>
    <d v="2026-02-06T00:00:00"/>
    <d v="1899-12-30T10:47:12"/>
    <s v="Debit Card"/>
    <n v="2712"/>
    <x v="1"/>
    <s v="NA"/>
    <s v="M003"/>
    <n v="10"/>
  </r>
  <r>
    <s v="T1046"/>
    <d v="2026-01-18T00:00:00"/>
    <d v="1899-12-30T10:47:12"/>
    <s v="Wallet"/>
    <n v="1463"/>
    <x v="1"/>
    <s v="NA"/>
    <s v="M004"/>
    <n v="10"/>
  </r>
  <r>
    <s v="T1047"/>
    <d v="2026-01-30T00:00:00"/>
    <d v="1899-12-30T10:47:12"/>
    <s v="Debit Card"/>
    <n v="1578"/>
    <x v="1"/>
    <s v="NA"/>
    <s v="M002"/>
    <n v="10"/>
  </r>
  <r>
    <s v="T1048"/>
    <d v="2026-01-20T00:00:00"/>
    <d v="1899-12-30T10:47:12"/>
    <s v="Debit Card"/>
    <n v="2656"/>
    <x v="2"/>
    <s v="NA"/>
    <s v="M002"/>
    <n v="10"/>
  </r>
  <r>
    <s v="T1049"/>
    <d v="2026-02-02T00:00:00"/>
    <d v="1899-12-30T10:47:12"/>
    <s v="Debit Card"/>
    <n v="875"/>
    <x v="1"/>
    <s v="NA"/>
    <s v="M005"/>
    <n v="10"/>
  </r>
  <r>
    <s v="T1050"/>
    <d v="2026-01-26T00:00:00"/>
    <d v="1899-12-30T10:47:12"/>
    <s v="Credit Card"/>
    <n v="4114"/>
    <x v="1"/>
    <s v="NA"/>
    <s v="M002"/>
    <n v="10"/>
  </r>
  <r>
    <s v="T1051"/>
    <d v="2026-01-22T00:00:00"/>
    <d v="1899-12-30T10:47:12"/>
    <s v="Wallet"/>
    <n v="134"/>
    <x v="0"/>
    <s v="Timeout"/>
    <s v="M005"/>
    <n v="10"/>
  </r>
  <r>
    <s v="T1052"/>
    <d v="2026-01-29T00:00:00"/>
    <d v="1899-12-30T10:47:12"/>
    <s v="UPI"/>
    <n v="3252"/>
    <x v="1"/>
    <s v="NA"/>
    <s v="M001"/>
    <n v="10"/>
  </r>
  <r>
    <s v="T1053"/>
    <d v="2026-01-13T00:00:00"/>
    <d v="1899-12-30T10:47:12"/>
    <s v="Net Banking"/>
    <n v="2055"/>
    <x v="2"/>
    <s v="NA"/>
    <s v="M004"/>
    <n v="10"/>
  </r>
  <r>
    <s v="T1054"/>
    <d v="2026-01-23T00:00:00"/>
    <d v="1899-12-30T10:47:12"/>
    <s v="UPI"/>
    <n v="1685"/>
    <x v="2"/>
    <s v="NA"/>
    <s v="M005"/>
    <n v="10"/>
  </r>
  <r>
    <s v="T1055"/>
    <d v="2026-02-07T00:00:00"/>
    <d v="1899-12-30T10:47:12"/>
    <s v="Wallet"/>
    <n v="4043"/>
    <x v="1"/>
    <s v="NA"/>
    <s v="M001"/>
    <n v="10"/>
  </r>
  <r>
    <s v="T1056"/>
    <d v="2026-01-14T00:00:00"/>
    <d v="1899-12-30T10:47:12"/>
    <s v="Net Banking"/>
    <n v="3173"/>
    <x v="1"/>
    <s v="NA"/>
    <s v="M002"/>
    <n v="10"/>
  </r>
  <r>
    <s v="T1057"/>
    <d v="2026-01-13T00:00:00"/>
    <d v="1899-12-30T10:47:12"/>
    <s v="Wallet"/>
    <n v="1121"/>
    <x v="1"/>
    <s v="NA"/>
    <s v="M002"/>
    <n v="10"/>
  </r>
  <r>
    <s v="T1058"/>
    <d v="2026-01-23T00:00:00"/>
    <d v="1899-12-30T10:47:12"/>
    <s v="Debit Card"/>
    <n v="3561"/>
    <x v="1"/>
    <s v="NA"/>
    <s v="M001"/>
    <n v="10"/>
  </r>
  <r>
    <s v="T1059"/>
    <d v="2026-01-19T00:00:00"/>
    <d v="1899-12-30T10:47:12"/>
    <s v="Net Banking"/>
    <n v="2713"/>
    <x v="1"/>
    <s v="NA"/>
    <s v="M002"/>
    <n v="10"/>
  </r>
  <r>
    <s v="T1060"/>
    <d v="2026-01-13T00:00:00"/>
    <d v="1899-12-30T10:47:12"/>
    <s v="Debit Card"/>
    <n v="3943"/>
    <x v="1"/>
    <s v="NA"/>
    <s v="M001"/>
    <n v="10"/>
  </r>
  <r>
    <s v="T1061"/>
    <d v="2026-01-24T00:00:00"/>
    <d v="1899-12-30T10:47:12"/>
    <s v="UPI"/>
    <n v="1600"/>
    <x v="1"/>
    <s v="NA"/>
    <s v="M005"/>
    <n v="10"/>
  </r>
  <r>
    <s v="T1062"/>
    <d v="2026-01-12T00:00:00"/>
    <d v="1899-12-30T10:47:12"/>
    <s v="UPI"/>
    <n v="4898"/>
    <x v="1"/>
    <s v="NA"/>
    <s v="M005"/>
    <n v="10"/>
  </r>
  <r>
    <s v="T1063"/>
    <d v="2026-02-04T00:00:00"/>
    <d v="1899-12-30T10:47:12"/>
    <s v="Net Banking"/>
    <n v="261"/>
    <x v="1"/>
    <s v="NA"/>
    <s v="M001"/>
    <n v="10"/>
  </r>
  <r>
    <s v="T1064"/>
    <d v="2026-01-23T00:00:00"/>
    <d v="1899-12-30T10:47:12"/>
    <s v="Net Banking"/>
    <n v="4397"/>
    <x v="2"/>
    <s v="NA"/>
    <s v="M005"/>
    <n v="10"/>
  </r>
  <r>
    <s v="T1065"/>
    <d v="2026-01-24T00:00:00"/>
    <d v="1899-12-30T10:47:12"/>
    <s v="Wallet"/>
    <n v="2081"/>
    <x v="1"/>
    <s v="NA"/>
    <s v="M005"/>
    <n v="10"/>
  </r>
  <r>
    <s v="T1066"/>
    <d v="2026-02-02T00:00:00"/>
    <d v="1899-12-30T10:47:12"/>
    <s v="Wallet"/>
    <n v="1095"/>
    <x v="1"/>
    <s v="NA"/>
    <s v="M005"/>
    <n v="10"/>
  </r>
  <r>
    <s v="T1067"/>
    <d v="2026-01-25T00:00:00"/>
    <d v="1899-12-30T10:47:12"/>
    <s v="Debit Card"/>
    <n v="3442"/>
    <x v="1"/>
    <s v="NA"/>
    <s v="M003"/>
    <n v="10"/>
  </r>
  <r>
    <s v="T1068"/>
    <d v="2026-01-16T00:00:00"/>
    <d v="1899-12-30T10:47:12"/>
    <s v="Net Banking"/>
    <n v="4651"/>
    <x v="2"/>
    <s v="NA"/>
    <s v="M004"/>
    <n v="10"/>
  </r>
  <r>
    <s v="T1069"/>
    <d v="2026-01-25T00:00:00"/>
    <d v="1899-12-30T10:47:12"/>
    <s v="UPI"/>
    <n v="3898"/>
    <x v="1"/>
    <s v="NA"/>
    <s v="M002"/>
    <n v="10"/>
  </r>
  <r>
    <s v="T1070"/>
    <d v="2026-01-19T00:00:00"/>
    <d v="1899-12-30T10:47:12"/>
    <s v="Wallet"/>
    <n v="1375"/>
    <x v="1"/>
    <s v="NA"/>
    <s v="M003"/>
    <n v="10"/>
  </r>
  <r>
    <s v="T1071"/>
    <d v="2026-01-26T00:00:00"/>
    <d v="1899-12-30T10:47:12"/>
    <s v="Wallet"/>
    <n v="1116"/>
    <x v="0"/>
    <s v="Insufficient Funds"/>
    <s v="M005"/>
    <n v="10"/>
  </r>
  <r>
    <s v="T1072"/>
    <d v="2026-01-21T00:00:00"/>
    <d v="1899-12-30T10:47:12"/>
    <s v="UPI"/>
    <n v="437"/>
    <x v="1"/>
    <s v="NA"/>
    <s v="M001"/>
    <n v="10"/>
  </r>
  <r>
    <s v="T1073"/>
    <d v="2026-01-21T00:00:00"/>
    <d v="1899-12-30T10:47:12"/>
    <s v="Wallet"/>
    <n v="978"/>
    <x v="0"/>
    <s v="Timeout"/>
    <s v="M005"/>
    <n v="10"/>
  </r>
  <r>
    <s v="T1074"/>
    <d v="2026-02-08T00:00:00"/>
    <d v="1899-12-30T10:47:12"/>
    <s v="Debit Card"/>
    <n v="1176"/>
    <x v="1"/>
    <s v="NA"/>
    <s v="M004"/>
    <n v="10"/>
  </r>
  <r>
    <s v="T1075"/>
    <d v="2026-02-03T00:00:00"/>
    <d v="1899-12-30T10:47:12"/>
    <s v="Net Banking"/>
    <n v="4987"/>
    <x v="1"/>
    <s v="NA"/>
    <s v="M005"/>
    <n v="10"/>
  </r>
  <r>
    <s v="T1076"/>
    <d v="2026-01-13T00:00:00"/>
    <d v="1899-12-30T10:47:12"/>
    <s v="UPI"/>
    <n v="4093"/>
    <x v="1"/>
    <s v="NA"/>
    <s v="M001"/>
    <n v="10"/>
  </r>
  <r>
    <s v="T1077"/>
    <d v="2026-02-05T00:00:00"/>
    <d v="1899-12-30T10:47:12"/>
    <s v="Net Banking"/>
    <n v="4959"/>
    <x v="1"/>
    <s v="NA"/>
    <s v="M004"/>
    <n v="10"/>
  </r>
  <r>
    <s v="T1078"/>
    <d v="2026-01-27T00:00:00"/>
    <d v="1899-12-30T10:47:12"/>
    <s v="Wallet"/>
    <n v="479"/>
    <x v="1"/>
    <s v="NA"/>
    <s v="M005"/>
    <n v="10"/>
  </r>
  <r>
    <s v="T1079"/>
    <d v="2026-01-22T00:00:00"/>
    <d v="1899-12-30T10:47:12"/>
    <s v="Wallet"/>
    <n v="592"/>
    <x v="0"/>
    <s v="Network Error"/>
    <s v="M004"/>
    <n v="10"/>
  </r>
  <r>
    <s v="T1080"/>
    <d v="2026-01-21T00:00:00"/>
    <d v="1899-12-30T10:47:12"/>
    <s v="UPI"/>
    <n v="2162"/>
    <x v="1"/>
    <s v="NA"/>
    <s v="M002"/>
    <n v="10"/>
  </r>
  <r>
    <s v="T1081"/>
    <d v="2026-02-04T00:00:00"/>
    <d v="1899-12-30T10:47:12"/>
    <s v="Debit Card"/>
    <n v="3984"/>
    <x v="1"/>
    <s v="NA"/>
    <s v="M002"/>
    <n v="10"/>
  </r>
  <r>
    <s v="T1082"/>
    <d v="2026-01-20T00:00:00"/>
    <d v="1899-12-30T10:47:12"/>
    <s v="Credit Card"/>
    <n v="164"/>
    <x v="1"/>
    <s v="NA"/>
    <s v="M005"/>
    <n v="10"/>
  </r>
  <r>
    <s v="T1083"/>
    <d v="2026-01-25T00:00:00"/>
    <d v="1899-12-30T10:47:12"/>
    <s v="UPI"/>
    <n v="2668"/>
    <x v="1"/>
    <s v="NA"/>
    <s v="M004"/>
    <n v="10"/>
  </r>
  <r>
    <s v="T1084"/>
    <d v="2026-02-03T00:00:00"/>
    <d v="1899-12-30T10:47:12"/>
    <s v="Credit Card"/>
    <n v="2127"/>
    <x v="1"/>
    <s v="NA"/>
    <s v="M001"/>
    <n v="10"/>
  </r>
  <r>
    <s v="T1085"/>
    <d v="2026-01-26T00:00:00"/>
    <d v="1899-12-30T10:47:12"/>
    <s v="Credit Card"/>
    <n v="2795"/>
    <x v="1"/>
    <s v="NA"/>
    <s v="M005"/>
    <n v="10"/>
  </r>
  <r>
    <s v="T1086"/>
    <d v="2026-02-08T00:00:00"/>
    <d v="1899-12-30T10:47:12"/>
    <s v="Debit Card"/>
    <n v="1595"/>
    <x v="1"/>
    <s v="NA"/>
    <s v="M002"/>
    <n v="10"/>
  </r>
  <r>
    <s v="T1087"/>
    <d v="2026-01-15T00:00:00"/>
    <d v="1899-12-30T10:47:12"/>
    <s v="Credit Card"/>
    <n v="491"/>
    <x v="1"/>
    <s v="NA"/>
    <s v="M002"/>
    <n v="10"/>
  </r>
  <r>
    <s v="T1088"/>
    <d v="2026-01-29T00:00:00"/>
    <d v="1899-12-30T10:47:12"/>
    <s v="Credit Card"/>
    <n v="4614"/>
    <x v="1"/>
    <s v="NA"/>
    <s v="M005"/>
    <n v="10"/>
  </r>
  <r>
    <s v="T1089"/>
    <d v="2026-01-25T00:00:00"/>
    <d v="1899-12-30T10:47:12"/>
    <s v="Debit Card"/>
    <n v="4574"/>
    <x v="1"/>
    <s v="NA"/>
    <s v="M004"/>
    <n v="10"/>
  </r>
  <r>
    <s v="T1090"/>
    <d v="2026-01-17T00:00:00"/>
    <d v="1899-12-30T10:47:12"/>
    <s v="Credit Card"/>
    <n v="3661"/>
    <x v="1"/>
    <s v="NA"/>
    <s v="M002"/>
    <n v="10"/>
  </r>
  <r>
    <s v="T1091"/>
    <d v="2026-01-26T00:00:00"/>
    <d v="1899-12-30T10:47:12"/>
    <s v="Credit Card"/>
    <n v="2378"/>
    <x v="1"/>
    <s v="NA"/>
    <s v="M004"/>
    <n v="10"/>
  </r>
  <r>
    <s v="T1092"/>
    <d v="2026-01-19T00:00:00"/>
    <d v="1899-12-30T10:47:12"/>
    <s v="Credit Card"/>
    <n v="3199"/>
    <x v="2"/>
    <s v="NA"/>
    <s v="M002"/>
    <n v="10"/>
  </r>
  <r>
    <s v="T1093"/>
    <d v="2026-01-28T00:00:00"/>
    <d v="1899-12-30T10:47:12"/>
    <s v="UPI"/>
    <n v="300"/>
    <x v="1"/>
    <s v="NA"/>
    <s v="M002"/>
    <n v="10"/>
  </r>
  <r>
    <s v="T1094"/>
    <d v="2026-01-12T00:00:00"/>
    <d v="1899-12-30T10:47:12"/>
    <s v="UPI"/>
    <n v="4975"/>
    <x v="1"/>
    <s v="NA"/>
    <s v="M003"/>
    <n v="10"/>
  </r>
  <r>
    <s v="T1095"/>
    <d v="2026-02-06T00:00:00"/>
    <d v="1899-12-30T10:47:12"/>
    <s v="UPI"/>
    <n v="3204"/>
    <x v="1"/>
    <s v="NA"/>
    <s v="M002"/>
    <n v="10"/>
  </r>
  <r>
    <s v="T1096"/>
    <d v="2026-01-19T00:00:00"/>
    <d v="1899-12-30T10:47:12"/>
    <s v="Debit Card"/>
    <n v="4698"/>
    <x v="2"/>
    <s v="NA"/>
    <s v="M001"/>
    <n v="10"/>
  </r>
  <r>
    <s v="T1097"/>
    <d v="2026-01-28T00:00:00"/>
    <d v="1899-12-30T10:47:12"/>
    <s v="Wallet"/>
    <n v="2554"/>
    <x v="0"/>
    <s v="Insufficient Funds"/>
    <s v="M005"/>
    <n v="10"/>
  </r>
  <r>
    <s v="T1098"/>
    <d v="2026-01-13T00:00:00"/>
    <d v="1899-12-30T10:47:12"/>
    <s v="Credit Card"/>
    <n v="3745"/>
    <x v="1"/>
    <s v="NA"/>
    <s v="M005"/>
    <n v="10"/>
  </r>
  <r>
    <s v="T1099"/>
    <d v="2026-01-25T00:00:00"/>
    <d v="1899-12-30T10:47:12"/>
    <s v="Credit Card"/>
    <n v="904"/>
    <x v="1"/>
    <s v="NA"/>
    <s v="M004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960AD-64F0-4322-AFA2-6A9B2E1A2B16}" name="PivotTable6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L3:M8" firstHeaderRow="1" firstDataRow="1" firstDataCol="1"/>
  <pivotFields count="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4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Transaction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8B2C0-41F2-488B-8C30-B554F4B8CDC9}" name="PivotTable3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1"/>
        <item x="0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Hour 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E9922-2D54-4865-9DE2-F7D5632B9329}" name="PivotTable108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N19:O22" firstHeaderRow="1" firstDataRow="1" firstDataCol="1"/>
  <pivotFields count="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Count of Transaction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15F1E-127A-4014-8CD1-6003FAB937A9}" name="PivotTable8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20:B25" firstHeaderRow="1" firstDataRow="1" firstDataCol="1"/>
  <pivotFields count="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2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F9E87-ED64-4FD2-B22F-784674C37EF9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9" firstHeaderRow="1" firstDataRow="1" firstDataCol="1" rowPageCount="1" colPageCount="1"/>
  <pivotFields count="9">
    <pivotField dataField="1" showAll="0"/>
    <pivotField numFmtId="14" showAll="0"/>
    <pivotField numFmtId="21"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547BC-1CAF-477D-8FD7-1F74845FA58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 rowPageCount="1" colPageCount="1"/>
  <pivotFields count="9">
    <pivotField dataField="1" showAll="0"/>
    <pivotField numFmtId="14" showAll="0"/>
    <pivotField numFmtId="21" showAll="0"/>
    <pivotField showAll="0"/>
    <pivotField showAll="0"/>
    <pivotField showAll="0"/>
    <pivotField axis="axisPage" showAll="0">
      <items count="6">
        <item x="3"/>
        <item x="2"/>
        <item x="1"/>
        <item x="0"/>
        <item x="4"/>
        <item t="default"/>
      </items>
    </pivotField>
    <pivotField axis="axisRow" showAll="0">
      <items count="6">
        <item x="2"/>
        <item x="1"/>
        <item x="0"/>
        <item x="4"/>
        <item x="3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6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6CB68-BDD5-46F9-A819-D98DA30C6B1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9" firstHeaderRow="1" firstDataRow="1" firstDataCol="1" rowPageCount="1" colPageCount="1"/>
  <pivotFields count="9">
    <pivotField dataField="1" showAll="0"/>
    <pivotField numFmtId="14" showAll="0"/>
    <pivotField numFmtId="21"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axis="axisPage" showAll="0">
      <items count="6">
        <item x="3"/>
        <item x="2"/>
        <item x="1"/>
        <item x="0"/>
        <item x="4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6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E113F-1EC3-46BC-AEF7-523527DD18A6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G14" firstHeaderRow="1" firstDataRow="1" firstDataCol="1" rowPageCount="1" colPageCount="1"/>
  <pivotFields count="9">
    <pivotField dataField="1" showAll="0"/>
    <pivotField numFmtId="14" showAll="0"/>
    <pivotField numFmtId="21"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showAll="0"/>
    <pivotField axis="axisRow" showAll="0">
      <items count="2">
        <item x="0"/>
        <item t="default"/>
      </items>
    </pivotField>
  </pivotFields>
  <rowFields count="1">
    <field x="8"/>
  </rowFields>
  <rowItems count="2">
    <i>
      <x/>
    </i>
    <i t="grand">
      <x/>
    </i>
  </rowItems>
  <colItems count="1">
    <i/>
  </colItems>
  <pageFields count="1">
    <pageField fld="5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88ECF-0A7F-4B8E-A38D-4D498B4FDEE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dataField="1" showAll="0"/>
    <pivotField numFmtId="14" showAll="0"/>
    <pivotField numFmtId="2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49CBF-AAC4-4B83-9F3C-58B49E5CDD2C}" name="Table1" displayName="Table1" ref="A1:I102" totalsRowShown="0">
  <autoFilter ref="A1:I102" xr:uid="{33A49CBF-AAC4-4B83-9F3C-58B49E5CDD2C}"/>
  <tableColumns count="9">
    <tableColumn id="1" xr3:uid="{117B5201-B94E-4C4F-9C44-46BDE9CF335C}" name="Transaction_ID"/>
    <tableColumn id="2" xr3:uid="{F900CF95-635E-469C-B911-E0AFA9E04417}" name="Date" dataDxfId="5"/>
    <tableColumn id="3" xr3:uid="{9AC55C38-7899-417B-B0E4-56DE67AC2151}" name="Time" dataDxfId="4"/>
    <tableColumn id="4" xr3:uid="{E512282C-7B55-4674-B5A7-DE648679701F}" name="Payment_Mode"/>
    <tableColumn id="5" xr3:uid="{459F6808-372E-4CD0-B1CB-FC9078BE294D}" name="Amount"/>
    <tableColumn id="6" xr3:uid="{36166507-819D-4778-9B5F-81139640D166}" name="Status"/>
    <tableColumn id="7" xr3:uid="{EB7CC375-3F37-4DD0-ACAD-AB142F1E02FC}" name="Failure_Reason"/>
    <tableColumn id="8" xr3:uid="{4C179E98-D8FB-4887-8131-B616F5CCF37E}" name="Merchant_ID"/>
    <tableColumn id="9" xr3:uid="{2B043892-CA19-4FAA-9AF5-F840265340E7}" name="Hour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2ED8F6-6A3B-455A-80B0-AC779C0B3C60}" name="Table27" displayName="Table27" ref="B105:E112" totalsRowShown="0">
  <autoFilter ref="B105:E112" xr:uid="{342ED8F6-6A3B-455A-80B0-AC779C0B3C60}"/>
  <tableColumns count="4">
    <tableColumn id="1" xr3:uid="{FEFD056A-C690-429A-ABD6-82F93A64BF5D}" name="Payment_Mode"/>
    <tableColumn id="2" xr3:uid="{18300E7D-859E-48B1-8029-1C64915CE585}" name="Failed_Count"/>
    <tableColumn id="3" xr3:uid="{4DFDE9B4-1C48-49BF-ADCE-B8B8247F8079}" name="Total_Count"/>
    <tableColumn id="4" xr3:uid="{02E258CD-8B73-4251-9577-C173466FEA53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5A27CC-5C4C-46F3-BC7C-B3E656F64826}" name="Table38" displayName="Table38" ref="B115:C116" totalsRowShown="0">
  <autoFilter ref="B115:C116" xr:uid="{8F5A27CC-5C4C-46F3-BC7C-B3E656F64826}"/>
  <tableColumns count="2">
    <tableColumn id="1" xr3:uid="{924B8F95-990C-45CB-9A0B-67C527477F9F}" name="No.of failed"/>
    <tableColumn id="2" xr3:uid="{6CF7A1F1-0AA0-462D-8584-68FC85FDE48A}" name="Failed 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D5771A-547E-4C25-A504-9853D0D5922E}" name="Table8" displayName="Table8" ref="L4:N9" totalsRowShown="0">
  <autoFilter ref="L4:N9" xr:uid="{29D5771A-547E-4C25-A504-9853D0D5922E}"/>
  <tableColumns count="3">
    <tableColumn id="1" xr3:uid="{17F82EAE-575D-4378-8AAB-83958D9A5B85}" name="TOTAL AMOUNT BY STATUS"/>
    <tableColumn id="2" xr3:uid="{8D2A38EE-7CBA-4272-905C-079BFCF43D64}" name="Column1"/>
    <tableColumn id="3" xr3:uid="{8D216232-65B8-43E2-9DB0-E1819641E552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772753-E76A-4EA4-822F-364D7FFADAED}" name="Table9" displayName="Table9" ref="P4:U10" totalsRowShown="0">
  <autoFilter ref="P4:U10" xr:uid="{B8772753-E76A-4EA4-822F-364D7FFADAED}"/>
  <tableColumns count="6">
    <tableColumn id="1" xr3:uid="{EFDB2C3E-1D60-4604-879A-BA68E6A226D6}" name="Payment_Mode"/>
    <tableColumn id="2" xr3:uid="{96A3B7E9-D463-4F50-88A8-04CFA7DDCC51}" name="Total_Transactions"/>
    <tableColumn id="3" xr3:uid="{A493EA8C-085E-4787-8838-16736ECBF88B}" name="Successful_Transactions"/>
    <tableColumn id="4" xr3:uid="{1C15AB1C-2B23-49B3-8D58-FCFFB1EBB9A7}" name="Revenue "/>
    <tableColumn id="5" xr3:uid="{83B64C2C-4B6B-42C9-810E-A150837D45AC}" name="Transaction_Fee (?)"/>
    <tableColumn id="6" xr3:uid="{E2E9FE29-52DA-49EA-B244-5CC35202DAC0}" name="Net_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E465A2-EFE4-43D6-838F-DA10CC913E5D}" name="Table10" displayName="Table10" ref="N15:O19" totalsRowShown="0">
  <autoFilter ref="N15:O19" xr:uid="{39E465A2-EFE4-43D6-838F-DA10CC913E5D}"/>
  <tableColumns count="2">
    <tableColumn id="1" xr3:uid="{C75CEB37-B6AF-4568-83AC-5AB94CD24B2B}" name="PROFIT &amp; LOSS STATEMENT"/>
    <tableColumn id="2" xr3:uid="{0C73BC28-BD71-45F9-BD2B-6D5F28AFFFDB}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BC26C6-6291-4FBC-83D0-608C1FF937C9}" name="Table11" displayName="Table11" ref="N22:O25" totalsRowShown="0">
  <autoFilter ref="N22:O25" xr:uid="{E5BC26C6-6291-4FBC-83D0-608C1FF937C9}"/>
  <tableColumns count="2">
    <tableColumn id="1" xr3:uid="{D48BE792-24D6-4282-A402-56D871FD10AB}" name="BALANCE SHEET"/>
    <tableColumn id="2" xr3:uid="{BF915FFB-A28B-4F1D-8749-7FFF995FFD7A}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00EBCE-CF60-4976-85D8-28AE249BCAE4}" name="Table12" displayName="Table12" ref="N27:O29" totalsRowShown="0">
  <autoFilter ref="N27:O29" xr:uid="{3200EBCE-CF60-4976-85D8-28AE249BCAE4}"/>
  <tableColumns count="2">
    <tableColumn id="1" xr3:uid="{85705C83-F1D6-4A67-823C-584CBA81485C}" name="Liabilities"/>
    <tableColumn id="2" xr3:uid="{CE936CC9-7D88-44C5-AF5B-B368BA34DC71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1BA5BD-E3E1-4D10-984E-56F38314F267}" name="Table13" displayName="Table13" ref="N31:O33" totalsRowShown="0">
  <autoFilter ref="N31:O33" xr:uid="{BC1BA5BD-E3E1-4D10-984E-56F38314F267}"/>
  <tableColumns count="2">
    <tableColumn id="1" xr3:uid="{DAA2A36B-5905-48F1-ACCD-68C44C676C43}" name="Equity"/>
    <tableColumn id="2" xr3:uid="{4CAB702F-DA4F-41C4-823F-5346AF4FF7CF}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9E5A7D-B9E5-41C3-8C28-C369C6754257}" name="Table14" displayName="Table14" ref="N35:O36" totalsRowShown="0">
  <autoFilter ref="N35:O36" xr:uid="{3B9E5A7D-B9E5-41C3-8C28-C369C6754257}"/>
  <tableColumns count="2">
    <tableColumn id="1" xr3:uid="{128E7EF6-940F-4867-A811-6922DCB434CA}" name="Balanced:" dataDxfId="3"/>
    <tableColumn id="2" xr3:uid="{6AADE571-9817-47EB-B31B-B2199C0C1CCE}" name="Column1" dataDxfId="2">
      <calculatedColumnFormula>176199.1+3595.9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86662CC-C11C-4916-9D27-FD0AE59F0B5A}" name="Table16" displayName="Table16" ref="N39:O44" totalsRowShown="0">
  <autoFilter ref="N39:O44" xr:uid="{786662CC-C11C-4916-9D27-FD0AE59F0B5A}"/>
  <tableColumns count="2">
    <tableColumn id="1" xr3:uid="{898A1212-0B23-4D72-9DA6-2EE88C971A17}" name="CASH FLOW STATEMENT"/>
    <tableColumn id="2" xr3:uid="{65F38260-F491-4001-9B3E-E422B58689AF}" name="Column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DEC2BD9-5151-4153-A295-DD4FE076D598}" name="Table17" displayName="Table17" ref="N47:O51" totalsRowShown="0">
  <autoFilter ref="N47:O51" xr:uid="{BDEC2BD9-5151-4153-A295-DD4FE076D598}"/>
  <tableColumns count="2">
    <tableColumn id="1" xr3:uid="{95A89E89-BAF3-4FF6-A0C5-4F17B3049537}" name="Successful Transaction Value"/>
    <tableColumn id="2" xr3:uid="{EABCABF8-FA25-4CBE-AEF6-FE9334AEF757}" name="₹179,79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E2B773-1BA3-43E9-8BDB-671FB0E883D6}" name="Table18" displayName="Table18" ref="K28:L33" totalsRowShown="0">
  <autoFilter ref="K28:L33" xr:uid="{B6E2B773-1BA3-43E9-8BDB-671FB0E883D6}"/>
  <tableColumns count="2">
    <tableColumn id="1" xr3:uid="{BFD38681-5A18-4304-A419-A6F349D1FD99}" name="TRANSACTION COUNTS" dataDxfId="1"/>
    <tableColumn id="2" xr3:uid="{7A190B77-24CC-4DA9-9EB6-17516B5C371E}" name="Column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24BF8C8-FAB7-400F-939C-1F7C99A8F263}" name="Table19" displayName="Table19" ref="K15:L16" totalsRowShown="0">
  <autoFilter ref="K15:L16" xr:uid="{224BF8C8-FAB7-400F-939C-1F7C99A8F263}"/>
  <tableColumns count="2">
    <tableColumn id="1" xr3:uid="{39420D0E-C4EC-4D22-B74A-A873BF982957}" name="PLATFORM REVENUE (2%)">
      <calculatedColumnFormula>2%*179795</calculatedColumnFormula>
    </tableColumn>
    <tableColumn id="2" xr3:uid="{F3B6AF09-107D-4DDE-90A8-5F8D861D2FB2}" name="MERCHANT PAYABLE" dataDxfId="0">
      <calculatedColumnFormula>N6-K16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3219766-E870-4DD3-849C-1A6F68C55E6B}" name="Table20" displayName="Table20" ref="K18:L21" totalsRowShown="0">
  <autoFilter ref="K18:L21" xr:uid="{63219766-E870-4DD3-849C-1A6F68C55E6B}"/>
  <tableColumns count="2">
    <tableColumn id="1" xr3:uid="{3900B43F-110B-4044-8F9B-D9A6D2405256}" name="JOURNAL ENTRY (SUMMARY)"/>
    <tableColumn id="2" xr3:uid="{5F6EBB94-AA22-49AD-A3D2-4A2715392D6F}" name="Column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6E9458-DE81-4CC1-A38C-3776D5179D31}" name="Table21" displayName="Table21" ref="K39:L45" totalsRowShown="0">
  <autoFilter ref="K39:L45" xr:uid="{5C6E9458-DE81-4CC1-A38C-3776D5179D31}"/>
  <tableColumns count="2">
    <tableColumn id="1" xr3:uid="{23CCBBB6-567C-42E2-83C0-85F5DE6EF21A}" name="KPI METRICS"/>
    <tableColumn id="2" xr3:uid="{5FADEFC8-7723-4880-BDB4-99C0DBE5F744}" name="Column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68737A-ACE6-45D8-A799-CD396CA18804}" name="Table15" displayName="Table15" ref="A1:I101" totalsRowShown="0">
  <autoFilter ref="A1:I101" xr:uid="{E568737A-ACE6-45D8-A799-CD396CA18804}"/>
  <tableColumns count="9">
    <tableColumn id="1" xr3:uid="{58604B18-6FFA-4C44-822B-E6BB9B5418BC}" name="Transaction_ID"/>
    <tableColumn id="2" xr3:uid="{AC8FF3CD-DD15-4C84-9128-82E82ABB7AF0}" name="Date" dataDxfId="7"/>
    <tableColumn id="3" xr3:uid="{BCADABE7-6BDB-41C2-97C9-DDDB0FC6BF73}" name="Time" dataDxfId="6"/>
    <tableColumn id="4" xr3:uid="{2BC42C8E-4CE2-483F-A7D8-A5E60719757F}" name="Payment_Mode"/>
    <tableColumn id="5" xr3:uid="{279FCB69-D5A1-43FA-97A7-B0FE062F3F40}" name="Amount"/>
    <tableColumn id="6" xr3:uid="{DA18B093-34FA-46F1-9281-6A1393370D58}" name="Status"/>
    <tableColumn id="7" xr3:uid="{63531E85-65FB-48C7-B42D-B5779707935E}" name="Failure_Reason"/>
    <tableColumn id="8" xr3:uid="{3CA6AE09-D959-4360-A78B-408213DD04E7}" name="Merchant_ID"/>
    <tableColumn id="9" xr3:uid="{B0691E8B-1FB8-4E5A-9FD2-9186E0081252}" name="Hou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F6AB-1E7F-45D0-BC07-F3B71689A3E3}">
  <sheetPr codeName="Sheet1"/>
  <dimension ref="A3:O25"/>
  <sheetViews>
    <sheetView workbookViewId="0">
      <selection activeCell="Y17" sqref="Y17"/>
    </sheetView>
  </sheetViews>
  <sheetFormatPr defaultRowHeight="14.4" x14ac:dyDescent="0.3"/>
  <cols>
    <col min="1" max="1" width="15.33203125" bestFit="1" customWidth="1"/>
    <col min="2" max="2" width="21.6640625" bestFit="1" customWidth="1"/>
    <col min="12" max="12" width="16.88671875" bestFit="1" customWidth="1"/>
    <col min="13" max="13" width="21.6640625" bestFit="1" customWidth="1"/>
    <col min="14" max="14" width="7.33203125" bestFit="1" customWidth="1"/>
    <col min="15" max="15" width="21.6640625" bestFit="1" customWidth="1"/>
  </cols>
  <sheetData>
    <row r="3" spans="1:13" x14ac:dyDescent="0.3">
      <c r="A3" s="4" t="s">
        <v>7</v>
      </c>
      <c r="B3" t="s">
        <v>147</v>
      </c>
      <c r="L3" s="4" t="s">
        <v>3</v>
      </c>
      <c r="M3" t="s">
        <v>145</v>
      </c>
    </row>
    <row r="4" spans="1:13" x14ac:dyDescent="0.3">
      <c r="A4" t="s">
        <v>24</v>
      </c>
      <c r="B4">
        <v>160</v>
      </c>
      <c r="L4" t="s">
        <v>12</v>
      </c>
      <c r="M4">
        <v>16</v>
      </c>
    </row>
    <row r="5" spans="1:13" x14ac:dyDescent="0.3">
      <c r="A5" t="s">
        <v>20</v>
      </c>
      <c r="B5">
        <v>250</v>
      </c>
      <c r="L5" t="s">
        <v>42</v>
      </c>
      <c r="M5">
        <v>22</v>
      </c>
    </row>
    <row r="6" spans="1:13" x14ac:dyDescent="0.3">
      <c r="A6" t="s">
        <v>15</v>
      </c>
      <c r="B6">
        <v>100</v>
      </c>
      <c r="L6" t="s">
        <v>22</v>
      </c>
      <c r="M6">
        <v>19</v>
      </c>
    </row>
    <row r="7" spans="1:13" x14ac:dyDescent="0.3">
      <c r="A7" t="s">
        <v>31</v>
      </c>
      <c r="B7">
        <v>240</v>
      </c>
      <c r="L7" t="s">
        <v>17</v>
      </c>
      <c r="M7">
        <v>26</v>
      </c>
    </row>
    <row r="8" spans="1:13" x14ac:dyDescent="0.3">
      <c r="A8" t="s">
        <v>26</v>
      </c>
      <c r="B8">
        <v>250</v>
      </c>
      <c r="L8" t="s">
        <v>44</v>
      </c>
      <c r="M8">
        <v>17</v>
      </c>
    </row>
    <row r="19" spans="1:15" x14ac:dyDescent="0.3">
      <c r="N19" s="4" t="s">
        <v>5</v>
      </c>
      <c r="O19" t="s">
        <v>145</v>
      </c>
    </row>
    <row r="20" spans="1:15" x14ac:dyDescent="0.3">
      <c r="A20" s="4" t="s">
        <v>6</v>
      </c>
      <c r="B20" t="s">
        <v>145</v>
      </c>
      <c r="N20" t="s">
        <v>13</v>
      </c>
      <c r="O20">
        <v>19</v>
      </c>
    </row>
    <row r="21" spans="1:15" x14ac:dyDescent="0.3">
      <c r="A21" t="s">
        <v>34</v>
      </c>
      <c r="B21">
        <v>3</v>
      </c>
      <c r="N21" t="s">
        <v>58</v>
      </c>
      <c r="O21">
        <v>9</v>
      </c>
    </row>
    <row r="22" spans="1:15" x14ac:dyDescent="0.3">
      <c r="A22" t="s">
        <v>23</v>
      </c>
      <c r="B22">
        <v>7</v>
      </c>
      <c r="N22" t="s">
        <v>18</v>
      </c>
      <c r="O22">
        <v>72</v>
      </c>
    </row>
    <row r="23" spans="1:15" x14ac:dyDescent="0.3">
      <c r="A23" t="s">
        <v>19</v>
      </c>
      <c r="B23">
        <v>81</v>
      </c>
    </row>
    <row r="24" spans="1:15" x14ac:dyDescent="0.3">
      <c r="A24" t="s">
        <v>14</v>
      </c>
      <c r="B24">
        <v>4</v>
      </c>
    </row>
    <row r="25" spans="1:15" x14ac:dyDescent="0.3">
      <c r="A25" t="s">
        <v>40</v>
      </c>
      <c r="B25">
        <v>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1B0C-864B-43DD-A640-925DF6B53A9D}">
  <sheetPr codeName="Sheet2"/>
  <dimension ref="A1:U116"/>
  <sheetViews>
    <sheetView tabSelected="1" topLeftCell="A31" zoomScaleNormal="100" workbookViewId="0">
      <selection activeCell="K47" sqref="K47"/>
    </sheetView>
  </sheetViews>
  <sheetFormatPr defaultRowHeight="14.4" x14ac:dyDescent="0.3"/>
  <cols>
    <col min="1" max="1" width="15.88671875" bestFit="1" customWidth="1"/>
    <col min="2" max="2" width="9.5546875" bestFit="1" customWidth="1"/>
    <col min="3" max="3" width="8.109375" bestFit="1" customWidth="1"/>
    <col min="4" max="4" width="16.88671875" bestFit="1" customWidth="1"/>
    <col min="5" max="5" width="10.109375" bestFit="1" customWidth="1"/>
    <col min="6" max="6" width="8.44140625" bestFit="1" customWidth="1"/>
    <col min="7" max="7" width="16" bestFit="1" customWidth="1"/>
    <col min="8" max="8" width="14.21875" bestFit="1" customWidth="1"/>
    <col min="9" max="9" width="7.77734375" bestFit="1" customWidth="1"/>
    <col min="10" max="10" width="17.77734375" customWidth="1"/>
    <col min="11" max="11" width="27.6640625" customWidth="1"/>
    <col min="12" max="12" width="26.33203125" customWidth="1"/>
    <col min="13" max="13" width="31.44140625" customWidth="1"/>
    <col min="14" max="14" width="27" customWidth="1"/>
    <col min="15" max="15" width="21.33203125" customWidth="1"/>
    <col min="16" max="16" width="16.5546875" customWidth="1"/>
    <col min="17" max="17" width="24.21875" customWidth="1"/>
    <col min="18" max="18" width="23.109375" customWidth="1"/>
    <col min="19" max="19" width="16.6640625" bestFit="1" customWidth="1"/>
    <col min="20" max="20" width="20.88671875" bestFit="1" customWidth="1"/>
    <col min="21" max="21" width="14.21875" customWidth="1"/>
    <col min="22" max="22" width="17" bestFit="1" customWidth="1"/>
    <col min="23" max="23" width="12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1" x14ac:dyDescent="0.3">
      <c r="A2" t="s">
        <v>11</v>
      </c>
      <c r="B2" s="1">
        <v>46047</v>
      </c>
      <c r="C2" s="2">
        <v>0.44944444444444442</v>
      </c>
      <c r="D2" t="s">
        <v>12</v>
      </c>
      <c r="E2">
        <v>960</v>
      </c>
      <c r="F2" t="s">
        <v>13</v>
      </c>
      <c r="G2" t="s">
        <v>14</v>
      </c>
      <c r="H2" t="s">
        <v>15</v>
      </c>
      <c r="I2">
        <v>10</v>
      </c>
    </row>
    <row r="3" spans="1:21" x14ac:dyDescent="0.3">
      <c r="A3" t="s">
        <v>16</v>
      </c>
      <c r="B3" s="1">
        <v>46035</v>
      </c>
      <c r="C3" s="2">
        <v>0.44944444444444442</v>
      </c>
      <c r="D3" t="s">
        <v>17</v>
      </c>
      <c r="E3">
        <v>3872</v>
      </c>
      <c r="F3" t="s">
        <v>18</v>
      </c>
      <c r="G3" t="s">
        <v>19</v>
      </c>
      <c r="H3" t="s">
        <v>20</v>
      </c>
      <c r="I3">
        <v>10</v>
      </c>
    </row>
    <row r="4" spans="1:21" x14ac:dyDescent="0.3">
      <c r="A4" t="s">
        <v>21</v>
      </c>
      <c r="B4" s="1">
        <v>46053</v>
      </c>
      <c r="C4" s="2">
        <v>0.44944444444444442</v>
      </c>
      <c r="D4" t="s">
        <v>22</v>
      </c>
      <c r="E4">
        <v>3192</v>
      </c>
      <c r="F4" t="s">
        <v>13</v>
      </c>
      <c r="G4" t="s">
        <v>23</v>
      </c>
      <c r="H4" t="s">
        <v>24</v>
      </c>
      <c r="I4">
        <v>10</v>
      </c>
      <c r="L4" t="s">
        <v>164</v>
      </c>
      <c r="M4" t="s">
        <v>29</v>
      </c>
      <c r="N4" t="s">
        <v>160</v>
      </c>
      <c r="P4" t="s">
        <v>3</v>
      </c>
      <c r="Q4" t="s">
        <v>35</v>
      </c>
      <c r="R4" t="s">
        <v>36</v>
      </c>
      <c r="S4" t="s">
        <v>170</v>
      </c>
      <c r="T4" t="s">
        <v>37</v>
      </c>
      <c r="U4" t="s">
        <v>38</v>
      </c>
    </row>
    <row r="5" spans="1:21" x14ac:dyDescent="0.3">
      <c r="A5" t="s">
        <v>25</v>
      </c>
      <c r="B5" s="1">
        <v>46049</v>
      </c>
      <c r="C5" s="2">
        <v>0.44944444444444442</v>
      </c>
      <c r="D5" t="s">
        <v>22</v>
      </c>
      <c r="E5">
        <v>566</v>
      </c>
      <c r="F5" t="s">
        <v>18</v>
      </c>
      <c r="G5" t="s">
        <v>19</v>
      </c>
      <c r="H5" t="s">
        <v>26</v>
      </c>
      <c r="I5">
        <v>10</v>
      </c>
      <c r="L5" s="12" t="s">
        <v>5</v>
      </c>
      <c r="M5" s="12" t="s">
        <v>163</v>
      </c>
      <c r="N5" t="s">
        <v>165</v>
      </c>
      <c r="P5" t="s">
        <v>12</v>
      </c>
      <c r="Q5">
        <f>COUNTIF($D$1:$D$101,"Credit Card")</f>
        <v>16</v>
      </c>
      <c r="R5">
        <f>COUNTIFS($D$1:$D$101,"Credit Card",$F$1:$F$101,"Success")</f>
        <v>11</v>
      </c>
      <c r="S5">
        <f>SUMIFS($E$1:$E$101,$D$1:$D$101, "Credit Card", $F$1:$F$101, "Success")</f>
        <v>28098</v>
      </c>
      <c r="T5">
        <f>SUMIFS($E$1:$E$101,$D$1:$D$101,"Credit Card",$F$1:$F$101,"Success")*2%</f>
        <v>561.96</v>
      </c>
      <c r="U5">
        <f>SUMIFS($E$1:$E$101,$D$1:$D$101,"Credit Card",$F$1:$F$101,"Success")*(1-2%)</f>
        <v>27536.04</v>
      </c>
    </row>
    <row r="6" spans="1:21" x14ac:dyDescent="0.3">
      <c r="A6" t="s">
        <v>30</v>
      </c>
      <c r="B6" s="1">
        <v>46051</v>
      </c>
      <c r="C6" s="2">
        <v>0.44944444444444442</v>
      </c>
      <c r="D6" t="s">
        <v>17</v>
      </c>
      <c r="E6">
        <v>4526</v>
      </c>
      <c r="F6" t="s">
        <v>18</v>
      </c>
      <c r="G6" t="s">
        <v>19</v>
      </c>
      <c r="H6" t="s">
        <v>31</v>
      </c>
      <c r="I6">
        <v>10</v>
      </c>
      <c r="L6" t="s">
        <v>18</v>
      </c>
      <c r="M6" s="12">
        <f>COUNTIF(F:F,"Success")</f>
        <v>72</v>
      </c>
      <c r="N6">
        <f>SUMIFS(E:E,F:F,"Success")</f>
        <v>179795</v>
      </c>
      <c r="P6" t="s">
        <v>42</v>
      </c>
      <c r="Q6">
        <f>COUNTIF($D$1:$D$100,"Debit card")</f>
        <v>22</v>
      </c>
      <c r="R6">
        <f>COUNTIFS($D$1:$D$101,"Debit Card",$F$1:$F$101,"Success")</f>
        <v>19</v>
      </c>
      <c r="S6">
        <f>SUMIFS($E$1:$E$101,$D$1:$D$101, "Debit Card", $F$1:$F$101, "Success")</f>
        <v>47351</v>
      </c>
      <c r="T6">
        <f>SUMIFS($E$1:$E$101,$D$1:$D$101,"Debit Card",$F$1:$F$101,"Success")*2%</f>
        <v>947.02</v>
      </c>
      <c r="U6">
        <f>SUMIFS($E$1:$E$101,$D$1:$D$101,"Debit Card",$F$1:$F$101,"Success")*(1-1.5%)</f>
        <v>46640.735000000001</v>
      </c>
    </row>
    <row r="7" spans="1:21" x14ac:dyDescent="0.3">
      <c r="A7" t="s">
        <v>33</v>
      </c>
      <c r="B7" s="1">
        <v>46049</v>
      </c>
      <c r="C7" s="2">
        <v>0.44944444444444442</v>
      </c>
      <c r="D7" t="s">
        <v>12</v>
      </c>
      <c r="E7">
        <v>3544</v>
      </c>
      <c r="F7" t="s">
        <v>13</v>
      </c>
      <c r="G7" t="s">
        <v>34</v>
      </c>
      <c r="H7" t="s">
        <v>20</v>
      </c>
      <c r="I7">
        <v>10</v>
      </c>
      <c r="L7" t="s">
        <v>13</v>
      </c>
      <c r="M7">
        <f>COUNTIF(F:F,"Failed")</f>
        <v>19</v>
      </c>
      <c r="N7">
        <f>SUMIFS(E:E,F:F,"Failed")</f>
        <v>42718</v>
      </c>
      <c r="P7" t="s">
        <v>22</v>
      </c>
      <c r="Q7">
        <f>COUNTIF($D$1:$D$100,"Net Banking")</f>
        <v>19</v>
      </c>
      <c r="R7">
        <f>COUNTIFS($D$1:$D$101,"Net Banking",$F$1:$F$101,"Success")</f>
        <v>12</v>
      </c>
      <c r="S7">
        <f>SUMIFS($E$1:$E$101,$D$1:$D$101, "Net Banking", $F$1:$F$101, "Success")</f>
        <v>29629</v>
      </c>
      <c r="T7">
        <f>SUMIFS($E$1:$E$101,$D$1:$D$101,"Net Banking",$F$1:$F$101,"Success")*2%</f>
        <v>592.58000000000004</v>
      </c>
      <c r="U7">
        <f>SUMIFS($E$1:$E$101,$D$1:$D$101,"Net Banking",$F$1:$F$101,"Success")*(1-1%)</f>
        <v>29332.71</v>
      </c>
    </row>
    <row r="8" spans="1:21" x14ac:dyDescent="0.3">
      <c r="A8" t="s">
        <v>39</v>
      </c>
      <c r="B8" s="1">
        <v>46035</v>
      </c>
      <c r="C8" s="2">
        <v>0.44944444444444442</v>
      </c>
      <c r="D8" t="s">
        <v>17</v>
      </c>
      <c r="E8">
        <v>3271</v>
      </c>
      <c r="F8" t="s">
        <v>13</v>
      </c>
      <c r="G8" t="s">
        <v>40</v>
      </c>
      <c r="H8" t="s">
        <v>24</v>
      </c>
      <c r="I8">
        <v>10</v>
      </c>
      <c r="L8" t="s">
        <v>58</v>
      </c>
      <c r="M8">
        <f>COUNTIF(F:F,"Pending")</f>
        <v>9</v>
      </c>
      <c r="N8">
        <f>SUMIFS(E:E,F:F,"Pending")</f>
        <v>26634</v>
      </c>
      <c r="P8" t="s">
        <v>44</v>
      </c>
      <c r="Q8">
        <f>COUNTIF($D$1:$D$100,"Wallet")</f>
        <v>17</v>
      </c>
      <c r="R8">
        <f>COUNTIFS($D$1:$D$101,"Wallet",$F$1:$F$101,"Success")</f>
        <v>9</v>
      </c>
      <c r="S8">
        <v>15977</v>
      </c>
      <c r="T8">
        <f>SUMIFS($E$1:$E$101,$D$1:$D$101,"Wallet",$F$1:$F$101,"Success")*1%</f>
        <v>159.77000000000001</v>
      </c>
      <c r="U8">
        <f>SUMIFS($E$1:$E$101,$D$1:$D$101,"Wallet",$F$1:$F$101,"Success")*(1-1%)</f>
        <v>15817.23</v>
      </c>
    </row>
    <row r="9" spans="1:21" x14ac:dyDescent="0.3">
      <c r="A9" t="s">
        <v>41</v>
      </c>
      <c r="B9" s="1">
        <v>46061</v>
      </c>
      <c r="C9" s="2">
        <v>0.44944444444444442</v>
      </c>
      <c r="D9" t="s">
        <v>22</v>
      </c>
      <c r="E9">
        <v>3019</v>
      </c>
      <c r="F9" t="s">
        <v>18</v>
      </c>
      <c r="G9" t="s">
        <v>19</v>
      </c>
      <c r="H9" t="s">
        <v>31</v>
      </c>
      <c r="I9">
        <v>10</v>
      </c>
      <c r="L9" t="s">
        <v>166</v>
      </c>
      <c r="M9">
        <f>SUM(M6:M8)</f>
        <v>100</v>
      </c>
      <c r="P9" t="s">
        <v>17</v>
      </c>
      <c r="Q9">
        <f>COUNTIF($D$1:$D$100,"UPI")</f>
        <v>26</v>
      </c>
      <c r="R9">
        <v>21</v>
      </c>
      <c r="S9">
        <f>SUMIFS($E$1:$E$101,$D$1:$D$101, "UPI", $F$1:$F$101, "Success")</f>
        <v>58740</v>
      </c>
      <c r="T9">
        <f>SUMIFS($E$1:$E$101,$D$1:$D$101,"UPI",$F$1:$F$101,"Success")*2%</f>
        <v>1174.8</v>
      </c>
      <c r="U9">
        <f>SUMIFS($E$1:$E$101,$D$1:$D$101,"UPI",$F$1:$F$101,"Success")*(1-0.5%)</f>
        <v>58446.3</v>
      </c>
    </row>
    <row r="10" spans="1:21" x14ac:dyDescent="0.3">
      <c r="A10" t="s">
        <v>43</v>
      </c>
      <c r="B10" s="1">
        <v>46060</v>
      </c>
      <c r="C10" s="2">
        <v>0.44944444444444442</v>
      </c>
      <c r="D10" t="s">
        <v>44</v>
      </c>
      <c r="E10">
        <v>230</v>
      </c>
      <c r="F10" t="s">
        <v>13</v>
      </c>
      <c r="G10" t="s">
        <v>40</v>
      </c>
      <c r="H10" t="s">
        <v>26</v>
      </c>
      <c r="I10">
        <v>10</v>
      </c>
      <c r="P10" t="s">
        <v>47</v>
      </c>
      <c r="Q10">
        <f>SUM(Q5:Q9)</f>
        <v>100</v>
      </c>
      <c r="R10">
        <f>SUM(R5:R9)</f>
        <v>72</v>
      </c>
      <c r="S10">
        <f>SUM(S5:S9)</f>
        <v>179795</v>
      </c>
      <c r="T10">
        <f>SUM(T5:T9)</f>
        <v>3436.13</v>
      </c>
      <c r="U10">
        <f>SUM(U5:U9)</f>
        <v>177773.01499999998</v>
      </c>
    </row>
    <row r="11" spans="1:21" x14ac:dyDescent="0.3">
      <c r="A11" t="s">
        <v>45</v>
      </c>
      <c r="B11" s="1">
        <v>46061</v>
      </c>
      <c r="C11" s="2">
        <v>0.44944444444444442</v>
      </c>
      <c r="D11" t="s">
        <v>44</v>
      </c>
      <c r="E11">
        <v>1785</v>
      </c>
      <c r="F11" t="s">
        <v>18</v>
      </c>
      <c r="G11" t="s">
        <v>19</v>
      </c>
      <c r="H11" t="s">
        <v>31</v>
      </c>
      <c r="I11">
        <v>10</v>
      </c>
    </row>
    <row r="12" spans="1:21" x14ac:dyDescent="0.3">
      <c r="A12" t="s">
        <v>46</v>
      </c>
      <c r="B12" s="1">
        <v>46056</v>
      </c>
      <c r="C12" s="2">
        <v>0.44944444444444442</v>
      </c>
      <c r="D12" t="s">
        <v>42</v>
      </c>
      <c r="E12">
        <v>869</v>
      </c>
      <c r="F12" t="s">
        <v>18</v>
      </c>
      <c r="G12" t="s">
        <v>19</v>
      </c>
      <c r="H12" t="s">
        <v>24</v>
      </c>
      <c r="I12">
        <v>10</v>
      </c>
    </row>
    <row r="13" spans="1:21" x14ac:dyDescent="0.3">
      <c r="A13" t="s">
        <v>48</v>
      </c>
      <c r="B13" s="1">
        <v>46057</v>
      </c>
      <c r="C13" s="2">
        <v>0.44944444444444442</v>
      </c>
      <c r="D13" t="s">
        <v>17</v>
      </c>
      <c r="E13">
        <v>2491</v>
      </c>
      <c r="F13" t="s">
        <v>18</v>
      </c>
      <c r="G13" t="s">
        <v>19</v>
      </c>
      <c r="H13" t="s">
        <v>31</v>
      </c>
      <c r="I13">
        <v>10</v>
      </c>
    </row>
    <row r="14" spans="1:21" x14ac:dyDescent="0.3">
      <c r="A14" t="s">
        <v>49</v>
      </c>
      <c r="B14" s="1">
        <v>46061</v>
      </c>
      <c r="C14" s="2">
        <v>0.44944444444444442</v>
      </c>
      <c r="D14" t="s">
        <v>17</v>
      </c>
      <c r="E14">
        <v>2533</v>
      </c>
      <c r="F14" t="s">
        <v>18</v>
      </c>
      <c r="G14" t="s">
        <v>19</v>
      </c>
      <c r="H14" t="s">
        <v>15</v>
      </c>
      <c r="I14">
        <v>10</v>
      </c>
    </row>
    <row r="15" spans="1:21" x14ac:dyDescent="0.3">
      <c r="A15" t="s">
        <v>50</v>
      </c>
      <c r="B15" s="1">
        <v>46035</v>
      </c>
      <c r="C15" s="2">
        <v>0.44944444444444442</v>
      </c>
      <c r="D15" t="s">
        <v>42</v>
      </c>
      <c r="E15">
        <v>1284</v>
      </c>
      <c r="F15" t="s">
        <v>18</v>
      </c>
      <c r="G15" t="s">
        <v>19</v>
      </c>
      <c r="H15" t="s">
        <v>31</v>
      </c>
      <c r="I15">
        <v>10</v>
      </c>
      <c r="K15" t="s">
        <v>171</v>
      </c>
      <c r="L15" t="s">
        <v>172</v>
      </c>
      <c r="N15" t="s">
        <v>167</v>
      </c>
      <c r="O15" t="s">
        <v>29</v>
      </c>
    </row>
    <row r="16" spans="1:21" x14ac:dyDescent="0.3">
      <c r="A16" t="s">
        <v>51</v>
      </c>
      <c r="B16" s="1">
        <v>46061</v>
      </c>
      <c r="C16" s="2">
        <v>0.44944444444444442</v>
      </c>
      <c r="D16" t="s">
        <v>42</v>
      </c>
      <c r="E16">
        <v>4655</v>
      </c>
      <c r="F16" t="s">
        <v>18</v>
      </c>
      <c r="G16" t="s">
        <v>19</v>
      </c>
      <c r="H16" t="s">
        <v>20</v>
      </c>
      <c r="I16">
        <v>10</v>
      </c>
      <c r="K16">
        <f>2%*179795</f>
        <v>3595.9</v>
      </c>
      <c r="L16" s="5">
        <f>N6-K16</f>
        <v>176199.1</v>
      </c>
      <c r="N16" s="12" t="s">
        <v>52</v>
      </c>
      <c r="O16" t="s">
        <v>168</v>
      </c>
    </row>
    <row r="17" spans="1:15" x14ac:dyDescent="0.3">
      <c r="A17" t="s">
        <v>53</v>
      </c>
      <c r="B17" s="1">
        <v>46046</v>
      </c>
      <c r="C17" s="2">
        <v>0.44944444444444442</v>
      </c>
      <c r="D17" t="s">
        <v>42</v>
      </c>
      <c r="E17">
        <v>3485</v>
      </c>
      <c r="F17" t="s">
        <v>18</v>
      </c>
      <c r="G17" t="s">
        <v>19</v>
      </c>
      <c r="H17" t="s">
        <v>20</v>
      </c>
      <c r="I17">
        <v>10</v>
      </c>
      <c r="N17" t="s">
        <v>169</v>
      </c>
      <c r="O17" s="13">
        <v>3595.9</v>
      </c>
    </row>
    <row r="18" spans="1:15" x14ac:dyDescent="0.3">
      <c r="A18" t="s">
        <v>54</v>
      </c>
      <c r="B18" s="1">
        <v>46057</v>
      </c>
      <c r="C18" s="2">
        <v>0.44944444444444442</v>
      </c>
      <c r="D18" t="s">
        <v>22</v>
      </c>
      <c r="E18">
        <v>4217</v>
      </c>
      <c r="F18" t="s">
        <v>18</v>
      </c>
      <c r="G18" t="s">
        <v>19</v>
      </c>
      <c r="H18" t="s">
        <v>15</v>
      </c>
      <c r="I18">
        <v>10</v>
      </c>
      <c r="K18" t="s">
        <v>175</v>
      </c>
      <c r="L18" t="s">
        <v>29</v>
      </c>
      <c r="N18" t="s">
        <v>66</v>
      </c>
      <c r="O18">
        <v>0</v>
      </c>
    </row>
    <row r="19" spans="1:15" x14ac:dyDescent="0.3">
      <c r="A19" t="s">
        <v>55</v>
      </c>
      <c r="B19" s="1">
        <v>46048</v>
      </c>
      <c r="C19" s="2">
        <v>0.44944444444444442</v>
      </c>
      <c r="D19" t="s">
        <v>17</v>
      </c>
      <c r="E19">
        <v>4943</v>
      </c>
      <c r="F19" t="s">
        <v>18</v>
      </c>
      <c r="G19" t="s">
        <v>19</v>
      </c>
      <c r="H19" t="s">
        <v>24</v>
      </c>
      <c r="I19">
        <v>10</v>
      </c>
      <c r="K19" t="s">
        <v>176</v>
      </c>
      <c r="L19" s="14">
        <v>179795</v>
      </c>
      <c r="N19" t="s">
        <v>56</v>
      </c>
      <c r="O19" s="13">
        <v>3595.9</v>
      </c>
    </row>
    <row r="20" spans="1:15" x14ac:dyDescent="0.3">
      <c r="A20" t="s">
        <v>57</v>
      </c>
      <c r="B20" s="1">
        <v>46048</v>
      </c>
      <c r="C20" s="2">
        <v>0.44944444444444442</v>
      </c>
      <c r="D20" t="s">
        <v>22</v>
      </c>
      <c r="E20">
        <v>3004</v>
      </c>
      <c r="F20" t="s">
        <v>58</v>
      </c>
      <c r="G20" t="s">
        <v>19</v>
      </c>
      <c r="H20" t="s">
        <v>20</v>
      </c>
      <c r="I20">
        <v>10</v>
      </c>
      <c r="K20" t="s">
        <v>177</v>
      </c>
      <c r="L20" s="13">
        <v>176199.1</v>
      </c>
    </row>
    <row r="21" spans="1:15" x14ac:dyDescent="0.3">
      <c r="A21" t="s">
        <v>59</v>
      </c>
      <c r="B21" s="1">
        <v>46055</v>
      </c>
      <c r="C21" s="2">
        <v>0.44944444444444442</v>
      </c>
      <c r="D21" t="s">
        <v>42</v>
      </c>
      <c r="E21">
        <v>574</v>
      </c>
      <c r="F21" t="s">
        <v>18</v>
      </c>
      <c r="G21" t="s">
        <v>19</v>
      </c>
      <c r="H21" t="s">
        <v>26</v>
      </c>
      <c r="I21">
        <v>10</v>
      </c>
      <c r="K21" t="s">
        <v>178</v>
      </c>
      <c r="L21" s="15">
        <f>L19-L20</f>
        <v>3595.8999999999942</v>
      </c>
      <c r="N21" s="7"/>
    </row>
    <row r="22" spans="1:15" x14ac:dyDescent="0.3">
      <c r="A22" t="s">
        <v>60</v>
      </c>
      <c r="B22" s="1">
        <v>46060</v>
      </c>
      <c r="C22" s="2">
        <v>0.44944444444444442</v>
      </c>
      <c r="D22" t="s">
        <v>17</v>
      </c>
      <c r="E22">
        <v>1182</v>
      </c>
      <c r="F22" t="s">
        <v>18</v>
      </c>
      <c r="G22" t="s">
        <v>19</v>
      </c>
      <c r="H22" t="s">
        <v>20</v>
      </c>
      <c r="I22">
        <v>10</v>
      </c>
      <c r="N22" t="s">
        <v>179</v>
      </c>
      <c r="O22" t="s">
        <v>29</v>
      </c>
    </row>
    <row r="23" spans="1:15" x14ac:dyDescent="0.3">
      <c r="A23" t="s">
        <v>63</v>
      </c>
      <c r="B23" s="1">
        <v>46049</v>
      </c>
      <c r="C23" s="2">
        <v>0.44944444444444442</v>
      </c>
      <c r="D23" t="s">
        <v>22</v>
      </c>
      <c r="E23">
        <v>2658</v>
      </c>
      <c r="F23" t="s">
        <v>13</v>
      </c>
      <c r="G23" t="s">
        <v>14</v>
      </c>
      <c r="H23" t="s">
        <v>20</v>
      </c>
      <c r="I23">
        <v>10</v>
      </c>
      <c r="N23" t="s">
        <v>61</v>
      </c>
    </row>
    <row r="24" spans="1:15" x14ac:dyDescent="0.3">
      <c r="A24" t="s">
        <v>64</v>
      </c>
      <c r="B24" s="1">
        <v>46053</v>
      </c>
      <c r="C24" s="2">
        <v>0.44944444444444442</v>
      </c>
      <c r="D24" t="s">
        <v>22</v>
      </c>
      <c r="E24">
        <v>2147</v>
      </c>
      <c r="F24" t="s">
        <v>18</v>
      </c>
      <c r="G24" t="s">
        <v>19</v>
      </c>
      <c r="H24" t="s">
        <v>24</v>
      </c>
      <c r="I24">
        <v>10</v>
      </c>
      <c r="N24" s="12" t="s">
        <v>149</v>
      </c>
      <c r="O24" t="s">
        <v>168</v>
      </c>
    </row>
    <row r="25" spans="1:15" x14ac:dyDescent="0.3">
      <c r="A25" t="s">
        <v>65</v>
      </c>
      <c r="B25" s="1">
        <v>46060</v>
      </c>
      <c r="C25" s="2">
        <v>0.44944444444444442</v>
      </c>
      <c r="D25" t="s">
        <v>42</v>
      </c>
      <c r="E25">
        <v>2847</v>
      </c>
      <c r="F25" t="s">
        <v>18</v>
      </c>
      <c r="G25" t="s">
        <v>19</v>
      </c>
      <c r="H25" t="s">
        <v>31</v>
      </c>
      <c r="I25">
        <v>10</v>
      </c>
      <c r="N25" s="6" t="s">
        <v>150</v>
      </c>
      <c r="O25" s="17">
        <v>179795</v>
      </c>
    </row>
    <row r="26" spans="1:15" x14ac:dyDescent="0.3">
      <c r="A26" t="s">
        <v>67</v>
      </c>
      <c r="B26" s="1">
        <v>46049</v>
      </c>
      <c r="C26" s="2">
        <v>0.44944444444444442</v>
      </c>
      <c r="D26" t="s">
        <v>17</v>
      </c>
      <c r="E26">
        <v>1075</v>
      </c>
      <c r="F26" t="s">
        <v>18</v>
      </c>
      <c r="G26" t="s">
        <v>19</v>
      </c>
      <c r="H26" t="s">
        <v>20</v>
      </c>
      <c r="I26">
        <v>10</v>
      </c>
    </row>
    <row r="27" spans="1:15" x14ac:dyDescent="0.3">
      <c r="A27" t="s">
        <v>68</v>
      </c>
      <c r="B27" s="1">
        <v>46035</v>
      </c>
      <c r="C27" s="2">
        <v>0.44944444444444442</v>
      </c>
      <c r="D27" t="s">
        <v>42</v>
      </c>
      <c r="E27">
        <v>1906</v>
      </c>
      <c r="F27" t="s">
        <v>18</v>
      </c>
      <c r="G27" t="s">
        <v>19</v>
      </c>
      <c r="H27" t="s">
        <v>15</v>
      </c>
      <c r="I27">
        <v>10</v>
      </c>
      <c r="N27" t="s">
        <v>180</v>
      </c>
      <c r="O27" s="9" t="s">
        <v>29</v>
      </c>
    </row>
    <row r="28" spans="1:15" x14ac:dyDescent="0.3">
      <c r="A28" t="s">
        <v>69</v>
      </c>
      <c r="B28" s="1">
        <v>46033</v>
      </c>
      <c r="C28" s="2">
        <v>0.44944444444444442</v>
      </c>
      <c r="D28" t="s">
        <v>17</v>
      </c>
      <c r="E28">
        <v>289</v>
      </c>
      <c r="F28" t="s">
        <v>58</v>
      </c>
      <c r="G28" t="s">
        <v>19</v>
      </c>
      <c r="H28" t="s">
        <v>31</v>
      </c>
      <c r="I28">
        <v>10</v>
      </c>
      <c r="K28" t="s">
        <v>162</v>
      </c>
      <c r="L28" t="s">
        <v>29</v>
      </c>
      <c r="N28" s="12" t="s">
        <v>181</v>
      </c>
      <c r="O28" s="12" t="s">
        <v>168</v>
      </c>
    </row>
    <row r="29" spans="1:15" x14ac:dyDescent="0.3">
      <c r="A29" t="s">
        <v>70</v>
      </c>
      <c r="B29" s="1">
        <v>46032</v>
      </c>
      <c r="C29" s="2">
        <v>0.44944444444444442</v>
      </c>
      <c r="D29" t="s">
        <v>44</v>
      </c>
      <c r="E29">
        <v>2834</v>
      </c>
      <c r="F29" t="s">
        <v>13</v>
      </c>
      <c r="G29" t="s">
        <v>14</v>
      </c>
      <c r="H29" t="s">
        <v>26</v>
      </c>
      <c r="I29">
        <v>10</v>
      </c>
      <c r="K29" s="12" t="s">
        <v>5</v>
      </c>
      <c r="L29" t="s">
        <v>163</v>
      </c>
      <c r="N29" s="6" t="s">
        <v>182</v>
      </c>
      <c r="O29" s="18">
        <v>176199.1</v>
      </c>
    </row>
    <row r="30" spans="1:15" x14ac:dyDescent="0.3">
      <c r="A30" t="s">
        <v>71</v>
      </c>
      <c r="B30" s="1">
        <v>46048</v>
      </c>
      <c r="C30" s="2">
        <v>0.44944444444444442</v>
      </c>
      <c r="D30" t="s">
        <v>12</v>
      </c>
      <c r="E30">
        <v>3105</v>
      </c>
      <c r="F30" t="s">
        <v>18</v>
      </c>
      <c r="G30" t="s">
        <v>19</v>
      </c>
      <c r="H30" t="s">
        <v>24</v>
      </c>
      <c r="I30">
        <v>10</v>
      </c>
      <c r="K30" s="11" t="s">
        <v>161</v>
      </c>
      <c r="L30">
        <f>COUNTIF(F:F,"Success")</f>
        <v>72</v>
      </c>
    </row>
    <row r="31" spans="1:15" x14ac:dyDescent="0.3">
      <c r="A31" t="s">
        <v>72</v>
      </c>
      <c r="B31" s="1">
        <v>46040</v>
      </c>
      <c r="C31" s="2">
        <v>0.44944444444444442</v>
      </c>
      <c r="D31" t="s">
        <v>12</v>
      </c>
      <c r="E31">
        <v>4758</v>
      </c>
      <c r="F31" t="s">
        <v>13</v>
      </c>
      <c r="G31" t="s">
        <v>23</v>
      </c>
      <c r="H31" t="s">
        <v>26</v>
      </c>
      <c r="I31">
        <v>10</v>
      </c>
      <c r="K31" s="11" t="s">
        <v>173</v>
      </c>
      <c r="L31">
        <v>19</v>
      </c>
      <c r="N31" t="s">
        <v>62</v>
      </c>
      <c r="O31" t="s">
        <v>29</v>
      </c>
    </row>
    <row r="32" spans="1:15" x14ac:dyDescent="0.3">
      <c r="A32" t="s">
        <v>73</v>
      </c>
      <c r="B32" s="1">
        <v>46060</v>
      </c>
      <c r="C32" s="2">
        <v>0.44944444444444442</v>
      </c>
      <c r="D32" t="s">
        <v>12</v>
      </c>
      <c r="E32">
        <v>1999</v>
      </c>
      <c r="F32" t="s">
        <v>13</v>
      </c>
      <c r="G32" t="s">
        <v>34</v>
      </c>
      <c r="H32" t="s">
        <v>31</v>
      </c>
      <c r="I32">
        <v>10</v>
      </c>
      <c r="K32" s="11" t="s">
        <v>174</v>
      </c>
      <c r="L32">
        <v>9</v>
      </c>
      <c r="N32" s="12" t="s">
        <v>62</v>
      </c>
      <c r="O32" t="s">
        <v>168</v>
      </c>
    </row>
    <row r="33" spans="1:15" x14ac:dyDescent="0.3">
      <c r="A33" t="s">
        <v>74</v>
      </c>
      <c r="B33" s="1">
        <v>46033</v>
      </c>
      <c r="C33" s="2">
        <v>0.44944444444444442</v>
      </c>
      <c r="D33" t="s">
        <v>42</v>
      </c>
      <c r="E33">
        <v>1367</v>
      </c>
      <c r="F33" t="s">
        <v>18</v>
      </c>
      <c r="G33" t="s">
        <v>19</v>
      </c>
      <c r="H33" t="s">
        <v>31</v>
      </c>
      <c r="I33">
        <v>10</v>
      </c>
      <c r="K33" s="11" t="s">
        <v>47</v>
      </c>
      <c r="L33">
        <f>SUM(L30:L32)</f>
        <v>100</v>
      </c>
      <c r="N33" t="s">
        <v>183</v>
      </c>
      <c r="O33" s="13">
        <v>3595.9</v>
      </c>
    </row>
    <row r="34" spans="1:15" x14ac:dyDescent="0.3">
      <c r="A34" t="s">
        <v>75</v>
      </c>
      <c r="B34" s="1">
        <v>46061</v>
      </c>
      <c r="C34" s="2">
        <v>0.44944444444444442</v>
      </c>
      <c r="D34" t="s">
        <v>44</v>
      </c>
      <c r="E34">
        <v>1628</v>
      </c>
      <c r="F34" t="s">
        <v>13</v>
      </c>
      <c r="G34" t="s">
        <v>23</v>
      </c>
      <c r="H34" t="s">
        <v>31</v>
      </c>
      <c r="I34">
        <v>10</v>
      </c>
      <c r="O34" s="9"/>
    </row>
    <row r="35" spans="1:15" x14ac:dyDescent="0.3">
      <c r="A35" t="s">
        <v>76</v>
      </c>
      <c r="B35" s="1">
        <v>46056</v>
      </c>
      <c r="C35" s="2">
        <v>0.44944444444444442</v>
      </c>
      <c r="D35" t="s">
        <v>17</v>
      </c>
      <c r="E35">
        <v>3302</v>
      </c>
      <c r="F35" t="s">
        <v>18</v>
      </c>
      <c r="G35" t="s">
        <v>19</v>
      </c>
      <c r="H35" t="s">
        <v>26</v>
      </c>
      <c r="I35">
        <v>10</v>
      </c>
      <c r="N35" s="6" t="s">
        <v>184</v>
      </c>
      <c r="O35" t="s">
        <v>29</v>
      </c>
    </row>
    <row r="36" spans="1:15" x14ac:dyDescent="0.3">
      <c r="A36" t="s">
        <v>77</v>
      </c>
      <c r="B36" s="1">
        <v>46052</v>
      </c>
      <c r="C36" s="2">
        <v>0.44944444444444442</v>
      </c>
      <c r="D36" t="s">
        <v>22</v>
      </c>
      <c r="E36">
        <v>3656</v>
      </c>
      <c r="F36" t="s">
        <v>13</v>
      </c>
      <c r="G36" t="s">
        <v>23</v>
      </c>
      <c r="H36" t="s">
        <v>31</v>
      </c>
      <c r="I36">
        <v>10</v>
      </c>
      <c r="N36" s="17">
        <v>179795</v>
      </c>
      <c r="O36" s="6">
        <f>176199.1+3595.9</f>
        <v>179795</v>
      </c>
    </row>
    <row r="37" spans="1:15" x14ac:dyDescent="0.3">
      <c r="A37" t="s">
        <v>78</v>
      </c>
      <c r="B37" s="1">
        <v>46060</v>
      </c>
      <c r="C37" s="2">
        <v>0.44944444444444442</v>
      </c>
      <c r="D37" t="s">
        <v>17</v>
      </c>
      <c r="E37">
        <v>3990</v>
      </c>
      <c r="F37" t="s">
        <v>13</v>
      </c>
      <c r="G37" t="s">
        <v>23</v>
      </c>
      <c r="H37" t="s">
        <v>26</v>
      </c>
      <c r="I37">
        <v>10</v>
      </c>
      <c r="O37" s="8"/>
    </row>
    <row r="38" spans="1:15" x14ac:dyDescent="0.3">
      <c r="A38" t="s">
        <v>79</v>
      </c>
      <c r="B38" s="1">
        <v>46058</v>
      </c>
      <c r="C38" s="2">
        <v>0.44944444444444442</v>
      </c>
      <c r="D38" t="s">
        <v>22</v>
      </c>
      <c r="E38">
        <v>746</v>
      </c>
      <c r="F38" t="s">
        <v>18</v>
      </c>
      <c r="G38" t="s">
        <v>19</v>
      </c>
      <c r="H38" t="s">
        <v>31</v>
      </c>
      <c r="I38">
        <v>10</v>
      </c>
      <c r="O38" s="8"/>
    </row>
    <row r="39" spans="1:15" x14ac:dyDescent="0.3">
      <c r="A39" t="s">
        <v>80</v>
      </c>
      <c r="B39" s="1">
        <v>46037</v>
      </c>
      <c r="C39" s="2">
        <v>0.44944444444444442</v>
      </c>
      <c r="D39" t="s">
        <v>17</v>
      </c>
      <c r="E39">
        <v>2988</v>
      </c>
      <c r="F39" t="s">
        <v>18</v>
      </c>
      <c r="G39" t="s">
        <v>19</v>
      </c>
      <c r="H39" t="s">
        <v>15</v>
      </c>
      <c r="I39">
        <v>10</v>
      </c>
      <c r="K39" t="s">
        <v>153</v>
      </c>
      <c r="L39" t="s">
        <v>29</v>
      </c>
      <c r="N39" t="s">
        <v>151</v>
      </c>
      <c r="O39" t="s">
        <v>29</v>
      </c>
    </row>
    <row r="40" spans="1:15" x14ac:dyDescent="0.3">
      <c r="A40" t="s">
        <v>81</v>
      </c>
      <c r="B40" s="1">
        <v>46036</v>
      </c>
      <c r="C40" s="2">
        <v>0.44944444444444442</v>
      </c>
      <c r="D40" t="s">
        <v>44</v>
      </c>
      <c r="E40">
        <v>2535</v>
      </c>
      <c r="F40" t="s">
        <v>18</v>
      </c>
      <c r="G40" t="s">
        <v>19</v>
      </c>
      <c r="H40" t="s">
        <v>31</v>
      </c>
      <c r="I40">
        <v>10</v>
      </c>
      <c r="K40" t="s">
        <v>154</v>
      </c>
      <c r="L40" t="s">
        <v>148</v>
      </c>
      <c r="N40" t="s">
        <v>185</v>
      </c>
    </row>
    <row r="41" spans="1:15" x14ac:dyDescent="0.3">
      <c r="A41" t="s">
        <v>82</v>
      </c>
      <c r="B41" s="1">
        <v>46040</v>
      </c>
      <c r="C41" s="2">
        <v>0.44944444444444442</v>
      </c>
      <c r="D41" t="s">
        <v>22</v>
      </c>
      <c r="E41">
        <v>700</v>
      </c>
      <c r="F41" t="s">
        <v>18</v>
      </c>
      <c r="G41" t="s">
        <v>19</v>
      </c>
      <c r="H41" t="s">
        <v>26</v>
      </c>
      <c r="I41">
        <v>10</v>
      </c>
      <c r="K41" t="s">
        <v>155</v>
      </c>
      <c r="L41" s="10">
        <f>SUMIFS(E:E,F:F,"Success")</f>
        <v>179795</v>
      </c>
      <c r="N41" t="s">
        <v>52</v>
      </c>
      <c r="O41" s="12" t="s">
        <v>168</v>
      </c>
    </row>
    <row r="42" spans="1:15" x14ac:dyDescent="0.3">
      <c r="A42" t="s">
        <v>83</v>
      </c>
      <c r="B42" s="1">
        <v>46049</v>
      </c>
      <c r="C42" s="2">
        <v>0.44944444444444442</v>
      </c>
      <c r="D42" t="s">
        <v>42</v>
      </c>
      <c r="E42">
        <v>2463</v>
      </c>
      <c r="F42" t="s">
        <v>13</v>
      </c>
      <c r="G42" t="s">
        <v>40</v>
      </c>
      <c r="H42" t="s">
        <v>20</v>
      </c>
      <c r="I42">
        <v>10</v>
      </c>
      <c r="K42" t="s">
        <v>156</v>
      </c>
      <c r="L42" s="10">
        <f>SUMIFS(E:E,F:F,"Failed")</f>
        <v>42718</v>
      </c>
      <c r="N42" t="s">
        <v>186</v>
      </c>
      <c r="O42" s="14">
        <v>179795</v>
      </c>
    </row>
    <row r="43" spans="1:15" x14ac:dyDescent="0.3">
      <c r="A43" t="s">
        <v>84</v>
      </c>
      <c r="B43" s="1">
        <v>46048</v>
      </c>
      <c r="C43" s="2">
        <v>0.44944444444444442</v>
      </c>
      <c r="D43" t="s">
        <v>17</v>
      </c>
      <c r="E43">
        <v>2161</v>
      </c>
      <c r="F43" t="s">
        <v>13</v>
      </c>
      <c r="G43" t="s">
        <v>34</v>
      </c>
      <c r="H43" t="s">
        <v>31</v>
      </c>
      <c r="I43">
        <v>10</v>
      </c>
      <c r="K43" t="s">
        <v>157</v>
      </c>
      <c r="L43">
        <f>AVERAGEIFS(E:E,F:F,"Success")</f>
        <v>2497.1527777777778</v>
      </c>
      <c r="N43" t="s">
        <v>187</v>
      </c>
      <c r="O43" s="13">
        <v>-176199.1</v>
      </c>
    </row>
    <row r="44" spans="1:15" x14ac:dyDescent="0.3">
      <c r="A44" t="s">
        <v>85</v>
      </c>
      <c r="B44" s="1">
        <v>46037</v>
      </c>
      <c r="C44" s="2">
        <v>0.44944444444444442</v>
      </c>
      <c r="D44" t="s">
        <v>17</v>
      </c>
      <c r="E44">
        <v>341</v>
      </c>
      <c r="F44" t="s">
        <v>18</v>
      </c>
      <c r="G44" t="s">
        <v>19</v>
      </c>
      <c r="H44" t="s">
        <v>20</v>
      </c>
      <c r="I44">
        <v>10</v>
      </c>
      <c r="K44" t="s">
        <v>158</v>
      </c>
      <c r="L44">
        <f>_xlfn.MAXIFS(E:E,F:F, "Success")</f>
        <v>4987</v>
      </c>
      <c r="N44" t="s">
        <v>152</v>
      </c>
      <c r="O44" s="16">
        <v>3595.9</v>
      </c>
    </row>
    <row r="45" spans="1:15" x14ac:dyDescent="0.3">
      <c r="A45" t="s">
        <v>86</v>
      </c>
      <c r="B45" s="1">
        <v>46034</v>
      </c>
      <c r="C45" s="2">
        <v>0.44944444444444442</v>
      </c>
      <c r="D45" t="s">
        <v>22</v>
      </c>
      <c r="E45">
        <v>2141</v>
      </c>
      <c r="F45" t="s">
        <v>18</v>
      </c>
      <c r="G45" t="s">
        <v>19</v>
      </c>
      <c r="H45" t="s">
        <v>15</v>
      </c>
      <c r="I45">
        <v>10</v>
      </c>
      <c r="K45" t="s">
        <v>159</v>
      </c>
      <c r="L45" s="9">
        <f>_xlfn.MINIFS(E:E,F:F,"Success")</f>
        <v>164</v>
      </c>
      <c r="O45" s="16"/>
    </row>
    <row r="46" spans="1:15" x14ac:dyDescent="0.3">
      <c r="A46" t="s">
        <v>87</v>
      </c>
      <c r="B46" s="1">
        <v>46037</v>
      </c>
      <c r="C46" s="2">
        <v>0.44944444444444442</v>
      </c>
      <c r="D46" t="s">
        <v>42</v>
      </c>
      <c r="E46">
        <v>2924</v>
      </c>
      <c r="F46" t="s">
        <v>18</v>
      </c>
      <c r="G46" t="s">
        <v>19</v>
      </c>
      <c r="H46" t="s">
        <v>24</v>
      </c>
      <c r="I46">
        <v>10</v>
      </c>
      <c r="O46" s="10"/>
    </row>
    <row r="47" spans="1:15" x14ac:dyDescent="0.3">
      <c r="A47" t="s">
        <v>88</v>
      </c>
      <c r="B47" s="1">
        <v>46059</v>
      </c>
      <c r="C47" s="2">
        <v>0.44944444444444442</v>
      </c>
      <c r="D47" t="s">
        <v>42</v>
      </c>
      <c r="E47">
        <v>2712</v>
      </c>
      <c r="F47" t="s">
        <v>18</v>
      </c>
      <c r="G47" t="s">
        <v>19</v>
      </c>
      <c r="H47" t="s">
        <v>15</v>
      </c>
      <c r="I47">
        <v>10</v>
      </c>
      <c r="N47" t="s">
        <v>191</v>
      </c>
      <c r="O47" t="s">
        <v>192</v>
      </c>
    </row>
    <row r="48" spans="1:15" x14ac:dyDescent="0.3">
      <c r="A48" t="s">
        <v>89</v>
      </c>
      <c r="B48" s="1">
        <v>46040</v>
      </c>
      <c r="C48" s="2">
        <v>0.44944444444444442</v>
      </c>
      <c r="D48" t="s">
        <v>44</v>
      </c>
      <c r="E48">
        <v>1463</v>
      </c>
      <c r="F48" t="s">
        <v>18</v>
      </c>
      <c r="G48" t="s">
        <v>19</v>
      </c>
      <c r="H48" t="s">
        <v>31</v>
      </c>
      <c r="I48">
        <v>10</v>
      </c>
      <c r="N48" t="s">
        <v>188</v>
      </c>
      <c r="O48" t="s">
        <v>193</v>
      </c>
    </row>
    <row r="49" spans="1:15" x14ac:dyDescent="0.3">
      <c r="A49" t="s">
        <v>90</v>
      </c>
      <c r="B49" s="1">
        <v>46052</v>
      </c>
      <c r="C49" s="2">
        <v>0.44944444444444442</v>
      </c>
      <c r="D49" t="s">
        <v>42</v>
      </c>
      <c r="E49">
        <v>1578</v>
      </c>
      <c r="F49" t="s">
        <v>18</v>
      </c>
      <c r="G49" t="s">
        <v>19</v>
      </c>
      <c r="H49" t="s">
        <v>20</v>
      </c>
      <c r="I49">
        <v>10</v>
      </c>
      <c r="N49" t="s">
        <v>189</v>
      </c>
      <c r="O49" t="s">
        <v>194</v>
      </c>
    </row>
    <row r="50" spans="1:15" x14ac:dyDescent="0.3">
      <c r="A50" t="s">
        <v>91</v>
      </c>
      <c r="B50" s="1">
        <v>46042</v>
      </c>
      <c r="C50" s="2">
        <v>0.44944444444444442</v>
      </c>
      <c r="D50" t="s">
        <v>42</v>
      </c>
      <c r="E50">
        <v>2656</v>
      </c>
      <c r="F50" t="s">
        <v>58</v>
      </c>
      <c r="G50" t="s">
        <v>19</v>
      </c>
      <c r="H50" t="s">
        <v>20</v>
      </c>
      <c r="I50">
        <v>10</v>
      </c>
      <c r="N50" t="s">
        <v>56</v>
      </c>
      <c r="O50" t="s">
        <v>193</v>
      </c>
    </row>
    <row r="51" spans="1:15" x14ac:dyDescent="0.3">
      <c r="A51" t="s">
        <v>92</v>
      </c>
      <c r="B51" s="1">
        <v>46055</v>
      </c>
      <c r="C51" s="2">
        <v>0.44944444444444442</v>
      </c>
      <c r="D51" t="s">
        <v>42</v>
      </c>
      <c r="E51">
        <v>875</v>
      </c>
      <c r="F51" t="s">
        <v>18</v>
      </c>
      <c r="G51" t="s">
        <v>19</v>
      </c>
      <c r="H51" t="s">
        <v>26</v>
      </c>
      <c r="I51">
        <v>10</v>
      </c>
      <c r="N51" t="s">
        <v>190</v>
      </c>
      <c r="O51" t="s">
        <v>192</v>
      </c>
    </row>
    <row r="52" spans="1:15" x14ac:dyDescent="0.3">
      <c r="A52" t="s">
        <v>93</v>
      </c>
      <c r="B52" s="1">
        <v>46048</v>
      </c>
      <c r="C52" s="2">
        <v>0.44944444444444442</v>
      </c>
      <c r="D52" t="s">
        <v>12</v>
      </c>
      <c r="E52">
        <v>4114</v>
      </c>
      <c r="F52" t="s">
        <v>18</v>
      </c>
      <c r="G52" t="s">
        <v>19</v>
      </c>
      <c r="H52" t="s">
        <v>20</v>
      </c>
      <c r="I52">
        <v>10</v>
      </c>
    </row>
    <row r="53" spans="1:15" x14ac:dyDescent="0.3">
      <c r="A53" t="s">
        <v>94</v>
      </c>
      <c r="B53" s="1">
        <v>46044</v>
      </c>
      <c r="C53" s="2">
        <v>0.44944444444444442</v>
      </c>
      <c r="D53" t="s">
        <v>44</v>
      </c>
      <c r="E53">
        <v>134</v>
      </c>
      <c r="F53" t="s">
        <v>13</v>
      </c>
      <c r="G53" t="s">
        <v>40</v>
      </c>
      <c r="H53" t="s">
        <v>26</v>
      </c>
      <c r="I53">
        <v>10</v>
      </c>
    </row>
    <row r="54" spans="1:15" x14ac:dyDescent="0.3">
      <c r="A54" t="s">
        <v>95</v>
      </c>
      <c r="B54" s="1">
        <v>46051</v>
      </c>
      <c r="C54" s="2">
        <v>0.44944444444444442</v>
      </c>
      <c r="D54" t="s">
        <v>17</v>
      </c>
      <c r="E54">
        <v>3252</v>
      </c>
      <c r="F54" t="s">
        <v>18</v>
      </c>
      <c r="G54" t="s">
        <v>19</v>
      </c>
      <c r="H54" t="s">
        <v>24</v>
      </c>
      <c r="I54">
        <v>10</v>
      </c>
    </row>
    <row r="55" spans="1:15" x14ac:dyDescent="0.3">
      <c r="A55" t="s">
        <v>96</v>
      </c>
      <c r="B55" s="1">
        <v>46035</v>
      </c>
      <c r="C55" s="2">
        <v>0.44944444444444442</v>
      </c>
      <c r="D55" t="s">
        <v>22</v>
      </c>
      <c r="E55">
        <v>2055</v>
      </c>
      <c r="F55" t="s">
        <v>58</v>
      </c>
      <c r="G55" t="s">
        <v>19</v>
      </c>
      <c r="H55" t="s">
        <v>31</v>
      </c>
      <c r="I55">
        <v>10</v>
      </c>
    </row>
    <row r="56" spans="1:15" x14ac:dyDescent="0.3">
      <c r="A56" t="s">
        <v>97</v>
      </c>
      <c r="B56" s="1">
        <v>46045</v>
      </c>
      <c r="C56" s="2">
        <v>0.44944444444444442</v>
      </c>
      <c r="D56" t="s">
        <v>17</v>
      </c>
      <c r="E56">
        <v>1685</v>
      </c>
      <c r="F56" t="s">
        <v>58</v>
      </c>
      <c r="G56" t="s">
        <v>19</v>
      </c>
      <c r="H56" t="s">
        <v>26</v>
      </c>
      <c r="I56">
        <v>10</v>
      </c>
    </row>
    <row r="57" spans="1:15" x14ac:dyDescent="0.3">
      <c r="A57" t="s">
        <v>98</v>
      </c>
      <c r="B57" s="1">
        <v>46060</v>
      </c>
      <c r="C57" s="2">
        <v>0.44944444444444442</v>
      </c>
      <c r="D57" t="s">
        <v>44</v>
      </c>
      <c r="E57">
        <v>4043</v>
      </c>
      <c r="F57" t="s">
        <v>18</v>
      </c>
      <c r="G57" t="s">
        <v>19</v>
      </c>
      <c r="H57" t="s">
        <v>24</v>
      </c>
      <c r="I57">
        <v>10</v>
      </c>
    </row>
    <row r="58" spans="1:15" x14ac:dyDescent="0.3">
      <c r="A58" t="s">
        <v>99</v>
      </c>
      <c r="B58" s="1">
        <v>46036</v>
      </c>
      <c r="C58" s="2">
        <v>0.44944444444444442</v>
      </c>
      <c r="D58" t="s">
        <v>22</v>
      </c>
      <c r="E58">
        <v>3173</v>
      </c>
      <c r="F58" t="s">
        <v>18</v>
      </c>
      <c r="G58" t="s">
        <v>19</v>
      </c>
      <c r="H58" t="s">
        <v>20</v>
      </c>
      <c r="I58">
        <v>10</v>
      </c>
    </row>
    <row r="59" spans="1:15" x14ac:dyDescent="0.3">
      <c r="A59" t="s">
        <v>100</v>
      </c>
      <c r="B59" s="1">
        <v>46035</v>
      </c>
      <c r="C59" s="2">
        <v>0.44944444444444442</v>
      </c>
      <c r="D59" t="s">
        <v>44</v>
      </c>
      <c r="E59">
        <v>1121</v>
      </c>
      <c r="F59" t="s">
        <v>18</v>
      </c>
      <c r="G59" t="s">
        <v>19</v>
      </c>
      <c r="H59" t="s">
        <v>20</v>
      </c>
      <c r="I59">
        <v>10</v>
      </c>
    </row>
    <row r="60" spans="1:15" x14ac:dyDescent="0.3">
      <c r="A60" t="s">
        <v>101</v>
      </c>
      <c r="B60" s="1">
        <v>46045</v>
      </c>
      <c r="C60" s="2">
        <v>0.44944444444444442</v>
      </c>
      <c r="D60" t="s">
        <v>42</v>
      </c>
      <c r="E60">
        <v>3561</v>
      </c>
      <c r="F60" t="s">
        <v>18</v>
      </c>
      <c r="G60" t="s">
        <v>19</v>
      </c>
      <c r="H60" t="s">
        <v>24</v>
      </c>
      <c r="I60">
        <v>10</v>
      </c>
    </row>
    <row r="61" spans="1:15" x14ac:dyDescent="0.3">
      <c r="A61" t="s">
        <v>102</v>
      </c>
      <c r="B61" s="1">
        <v>46041</v>
      </c>
      <c r="C61" s="2">
        <v>0.44944444444444442</v>
      </c>
      <c r="D61" t="s">
        <v>22</v>
      </c>
      <c r="E61">
        <v>2713</v>
      </c>
      <c r="F61" t="s">
        <v>18</v>
      </c>
      <c r="G61" t="s">
        <v>19</v>
      </c>
      <c r="H61" t="s">
        <v>20</v>
      </c>
      <c r="I61">
        <v>10</v>
      </c>
    </row>
    <row r="62" spans="1:15" x14ac:dyDescent="0.3">
      <c r="A62" t="s">
        <v>103</v>
      </c>
      <c r="B62" s="1">
        <v>46035</v>
      </c>
      <c r="C62" s="2">
        <v>0.44944444444444442</v>
      </c>
      <c r="D62" t="s">
        <v>42</v>
      </c>
      <c r="E62">
        <v>3943</v>
      </c>
      <c r="F62" t="s">
        <v>18</v>
      </c>
      <c r="G62" t="s">
        <v>19</v>
      </c>
      <c r="H62" t="s">
        <v>24</v>
      </c>
      <c r="I62">
        <v>10</v>
      </c>
    </row>
    <row r="63" spans="1:15" x14ac:dyDescent="0.3">
      <c r="A63" t="s">
        <v>104</v>
      </c>
      <c r="B63" s="1">
        <v>46046</v>
      </c>
      <c r="C63" s="2">
        <v>0.44944444444444442</v>
      </c>
      <c r="D63" t="s">
        <v>17</v>
      </c>
      <c r="E63">
        <v>1600</v>
      </c>
      <c r="F63" t="s">
        <v>18</v>
      </c>
      <c r="G63" t="s">
        <v>19</v>
      </c>
      <c r="H63" t="s">
        <v>26</v>
      </c>
      <c r="I63">
        <v>10</v>
      </c>
    </row>
    <row r="64" spans="1:15" x14ac:dyDescent="0.3">
      <c r="A64" t="s">
        <v>105</v>
      </c>
      <c r="B64" s="1">
        <v>46034</v>
      </c>
      <c r="C64" s="2">
        <v>0.44944444444444442</v>
      </c>
      <c r="D64" t="s">
        <v>17</v>
      </c>
      <c r="E64">
        <v>4898</v>
      </c>
      <c r="F64" t="s">
        <v>18</v>
      </c>
      <c r="G64" t="s">
        <v>19</v>
      </c>
      <c r="H64" t="s">
        <v>26</v>
      </c>
      <c r="I64">
        <v>10</v>
      </c>
    </row>
    <row r="65" spans="1:9" x14ac:dyDescent="0.3">
      <c r="A65" t="s">
        <v>106</v>
      </c>
      <c r="B65" s="1">
        <v>46057</v>
      </c>
      <c r="C65" s="2">
        <v>0.44944444444444442</v>
      </c>
      <c r="D65" t="s">
        <v>22</v>
      </c>
      <c r="E65">
        <v>261</v>
      </c>
      <c r="F65" t="s">
        <v>18</v>
      </c>
      <c r="G65" t="s">
        <v>19</v>
      </c>
      <c r="H65" t="s">
        <v>24</v>
      </c>
      <c r="I65">
        <v>10</v>
      </c>
    </row>
    <row r="66" spans="1:9" x14ac:dyDescent="0.3">
      <c r="A66" t="s">
        <v>107</v>
      </c>
      <c r="B66" s="1">
        <v>46045</v>
      </c>
      <c r="C66" s="2">
        <v>0.44944444444444442</v>
      </c>
      <c r="D66" t="s">
        <v>22</v>
      </c>
      <c r="E66">
        <v>4397</v>
      </c>
      <c r="F66" t="s">
        <v>58</v>
      </c>
      <c r="G66" t="s">
        <v>19</v>
      </c>
      <c r="H66" t="s">
        <v>26</v>
      </c>
      <c r="I66">
        <v>10</v>
      </c>
    </row>
    <row r="67" spans="1:9" x14ac:dyDescent="0.3">
      <c r="A67" t="s">
        <v>108</v>
      </c>
      <c r="B67" s="1">
        <v>46046</v>
      </c>
      <c r="C67" s="2">
        <v>0.44944444444444442</v>
      </c>
      <c r="D67" t="s">
        <v>44</v>
      </c>
      <c r="E67">
        <v>2081</v>
      </c>
      <c r="F67" t="s">
        <v>18</v>
      </c>
      <c r="G67" t="s">
        <v>19</v>
      </c>
      <c r="H67" t="s">
        <v>26</v>
      </c>
      <c r="I67">
        <v>10</v>
      </c>
    </row>
    <row r="68" spans="1:9" x14ac:dyDescent="0.3">
      <c r="A68" t="s">
        <v>109</v>
      </c>
      <c r="B68" s="1">
        <v>46055</v>
      </c>
      <c r="C68" s="2">
        <v>0.44944444444444442</v>
      </c>
      <c r="D68" t="s">
        <v>44</v>
      </c>
      <c r="E68">
        <v>1095</v>
      </c>
      <c r="F68" t="s">
        <v>18</v>
      </c>
      <c r="G68" t="s">
        <v>19</v>
      </c>
      <c r="H68" t="s">
        <v>26</v>
      </c>
      <c r="I68">
        <v>10</v>
      </c>
    </row>
    <row r="69" spans="1:9" x14ac:dyDescent="0.3">
      <c r="A69" t="s">
        <v>110</v>
      </c>
      <c r="B69" s="1">
        <v>46047</v>
      </c>
      <c r="C69" s="2">
        <v>0.44944444444444442</v>
      </c>
      <c r="D69" t="s">
        <v>42</v>
      </c>
      <c r="E69">
        <v>3442</v>
      </c>
      <c r="F69" t="s">
        <v>18</v>
      </c>
      <c r="G69" t="s">
        <v>19</v>
      </c>
      <c r="H69" t="s">
        <v>15</v>
      </c>
      <c r="I69">
        <v>10</v>
      </c>
    </row>
    <row r="70" spans="1:9" x14ac:dyDescent="0.3">
      <c r="A70" t="s">
        <v>111</v>
      </c>
      <c r="B70" s="1">
        <v>46038</v>
      </c>
      <c r="C70" s="2">
        <v>0.44944444444444442</v>
      </c>
      <c r="D70" t="s">
        <v>22</v>
      </c>
      <c r="E70">
        <v>4651</v>
      </c>
      <c r="F70" t="s">
        <v>58</v>
      </c>
      <c r="G70" t="s">
        <v>19</v>
      </c>
      <c r="H70" t="s">
        <v>31</v>
      </c>
      <c r="I70">
        <v>10</v>
      </c>
    </row>
    <row r="71" spans="1:9" x14ac:dyDescent="0.3">
      <c r="A71" t="s">
        <v>112</v>
      </c>
      <c r="B71" s="1">
        <v>46047</v>
      </c>
      <c r="C71" s="2">
        <v>0.44944444444444442</v>
      </c>
      <c r="D71" t="s">
        <v>17</v>
      </c>
      <c r="E71">
        <v>3898</v>
      </c>
      <c r="F71" t="s">
        <v>18</v>
      </c>
      <c r="G71" t="s">
        <v>19</v>
      </c>
      <c r="H71" t="s">
        <v>20</v>
      </c>
      <c r="I71">
        <v>10</v>
      </c>
    </row>
    <row r="72" spans="1:9" x14ac:dyDescent="0.3">
      <c r="A72" t="s">
        <v>113</v>
      </c>
      <c r="B72" s="1">
        <v>46041</v>
      </c>
      <c r="C72" s="2">
        <v>0.44944444444444442</v>
      </c>
      <c r="D72" t="s">
        <v>44</v>
      </c>
      <c r="E72">
        <v>1375</v>
      </c>
      <c r="F72" t="s">
        <v>18</v>
      </c>
      <c r="G72" t="s">
        <v>19</v>
      </c>
      <c r="H72" t="s">
        <v>15</v>
      </c>
      <c r="I72">
        <v>10</v>
      </c>
    </row>
    <row r="73" spans="1:9" x14ac:dyDescent="0.3">
      <c r="A73" t="s">
        <v>114</v>
      </c>
      <c r="B73" s="1">
        <v>46048</v>
      </c>
      <c r="C73" s="2">
        <v>0.44944444444444442</v>
      </c>
      <c r="D73" t="s">
        <v>44</v>
      </c>
      <c r="E73">
        <v>1116</v>
      </c>
      <c r="F73" t="s">
        <v>13</v>
      </c>
      <c r="G73" t="s">
        <v>23</v>
      </c>
      <c r="H73" t="s">
        <v>26</v>
      </c>
      <c r="I73">
        <v>10</v>
      </c>
    </row>
    <row r="74" spans="1:9" x14ac:dyDescent="0.3">
      <c r="A74" t="s">
        <v>115</v>
      </c>
      <c r="B74" s="1">
        <v>46043</v>
      </c>
      <c r="C74" s="2">
        <v>0.44944444444444442</v>
      </c>
      <c r="D74" t="s">
        <v>17</v>
      </c>
      <c r="E74">
        <v>437</v>
      </c>
      <c r="F74" t="s">
        <v>18</v>
      </c>
      <c r="G74" t="s">
        <v>19</v>
      </c>
      <c r="H74" t="s">
        <v>24</v>
      </c>
      <c r="I74">
        <v>10</v>
      </c>
    </row>
    <row r="75" spans="1:9" x14ac:dyDescent="0.3">
      <c r="A75" t="s">
        <v>116</v>
      </c>
      <c r="B75" s="1">
        <v>46043</v>
      </c>
      <c r="C75" s="2">
        <v>0.44944444444444442</v>
      </c>
      <c r="D75" t="s">
        <v>44</v>
      </c>
      <c r="E75">
        <v>978</v>
      </c>
      <c r="F75" t="s">
        <v>13</v>
      </c>
      <c r="G75" t="s">
        <v>40</v>
      </c>
      <c r="H75" t="s">
        <v>26</v>
      </c>
      <c r="I75">
        <v>10</v>
      </c>
    </row>
    <row r="76" spans="1:9" x14ac:dyDescent="0.3">
      <c r="A76" t="s">
        <v>117</v>
      </c>
      <c r="B76" s="1">
        <v>46061</v>
      </c>
      <c r="C76" s="2">
        <v>0.44944444444444442</v>
      </c>
      <c r="D76" t="s">
        <v>42</v>
      </c>
      <c r="E76">
        <v>1176</v>
      </c>
      <c r="F76" t="s">
        <v>18</v>
      </c>
      <c r="G76" t="s">
        <v>19</v>
      </c>
      <c r="H76" t="s">
        <v>31</v>
      </c>
      <c r="I76">
        <v>10</v>
      </c>
    </row>
    <row r="77" spans="1:9" x14ac:dyDescent="0.3">
      <c r="A77" t="s">
        <v>118</v>
      </c>
      <c r="B77" s="1">
        <v>46056</v>
      </c>
      <c r="C77" s="2">
        <v>0.44944444444444442</v>
      </c>
      <c r="D77" t="s">
        <v>22</v>
      </c>
      <c r="E77">
        <v>4987</v>
      </c>
      <c r="F77" t="s">
        <v>18</v>
      </c>
      <c r="G77" t="s">
        <v>19</v>
      </c>
      <c r="H77" t="s">
        <v>26</v>
      </c>
      <c r="I77">
        <v>10</v>
      </c>
    </row>
    <row r="78" spans="1:9" x14ac:dyDescent="0.3">
      <c r="A78" t="s">
        <v>119</v>
      </c>
      <c r="B78" s="1">
        <v>46035</v>
      </c>
      <c r="C78" s="2">
        <v>0.44944444444444442</v>
      </c>
      <c r="D78" t="s">
        <v>17</v>
      </c>
      <c r="E78">
        <v>4093</v>
      </c>
      <c r="F78" t="s">
        <v>18</v>
      </c>
      <c r="G78" t="s">
        <v>19</v>
      </c>
      <c r="H78" t="s">
        <v>24</v>
      </c>
      <c r="I78">
        <v>10</v>
      </c>
    </row>
    <row r="79" spans="1:9" x14ac:dyDescent="0.3">
      <c r="A79" t="s">
        <v>120</v>
      </c>
      <c r="B79" s="1">
        <v>46058</v>
      </c>
      <c r="C79" s="2">
        <v>0.44944444444444442</v>
      </c>
      <c r="D79" t="s">
        <v>22</v>
      </c>
      <c r="E79">
        <v>4959</v>
      </c>
      <c r="F79" t="s">
        <v>18</v>
      </c>
      <c r="G79" t="s">
        <v>19</v>
      </c>
      <c r="H79" t="s">
        <v>31</v>
      </c>
      <c r="I79">
        <v>10</v>
      </c>
    </row>
    <row r="80" spans="1:9" x14ac:dyDescent="0.3">
      <c r="A80" t="s">
        <v>121</v>
      </c>
      <c r="B80" s="1">
        <v>46049</v>
      </c>
      <c r="C80" s="2">
        <v>0.44944444444444442</v>
      </c>
      <c r="D80" t="s">
        <v>44</v>
      </c>
      <c r="E80">
        <v>479</v>
      </c>
      <c r="F80" t="s">
        <v>18</v>
      </c>
      <c r="G80" t="s">
        <v>19</v>
      </c>
      <c r="H80" t="s">
        <v>26</v>
      </c>
      <c r="I80">
        <v>10</v>
      </c>
    </row>
    <row r="81" spans="1:9" x14ac:dyDescent="0.3">
      <c r="A81" t="s">
        <v>122</v>
      </c>
      <c r="B81" s="1">
        <v>46044</v>
      </c>
      <c r="C81" s="2">
        <v>0.44944444444444442</v>
      </c>
      <c r="D81" t="s">
        <v>44</v>
      </c>
      <c r="E81">
        <v>592</v>
      </c>
      <c r="F81" t="s">
        <v>13</v>
      </c>
      <c r="G81" t="s">
        <v>14</v>
      </c>
      <c r="H81" t="s">
        <v>31</v>
      </c>
      <c r="I81">
        <v>10</v>
      </c>
    </row>
    <row r="82" spans="1:9" x14ac:dyDescent="0.3">
      <c r="A82" t="s">
        <v>123</v>
      </c>
      <c r="B82" s="1">
        <v>46043</v>
      </c>
      <c r="C82" s="2">
        <v>0.44944444444444442</v>
      </c>
      <c r="D82" t="s">
        <v>17</v>
      </c>
      <c r="E82">
        <v>2162</v>
      </c>
      <c r="F82" t="s">
        <v>18</v>
      </c>
      <c r="G82" t="s">
        <v>19</v>
      </c>
      <c r="H82" t="s">
        <v>20</v>
      </c>
      <c r="I82">
        <v>10</v>
      </c>
    </row>
    <row r="83" spans="1:9" x14ac:dyDescent="0.3">
      <c r="A83" t="s">
        <v>124</v>
      </c>
      <c r="B83" s="1">
        <v>46057</v>
      </c>
      <c r="C83" s="2">
        <v>0.44944444444444442</v>
      </c>
      <c r="D83" t="s">
        <v>42</v>
      </c>
      <c r="E83">
        <v>3984</v>
      </c>
      <c r="F83" t="s">
        <v>18</v>
      </c>
      <c r="G83" t="s">
        <v>19</v>
      </c>
      <c r="H83" t="s">
        <v>20</v>
      </c>
      <c r="I83">
        <v>10</v>
      </c>
    </row>
    <row r="84" spans="1:9" x14ac:dyDescent="0.3">
      <c r="A84" t="s">
        <v>125</v>
      </c>
      <c r="B84" s="1">
        <v>46042</v>
      </c>
      <c r="C84" s="2">
        <v>0.44944444444444442</v>
      </c>
      <c r="D84" t="s">
        <v>12</v>
      </c>
      <c r="E84">
        <v>164</v>
      </c>
      <c r="F84" t="s">
        <v>18</v>
      </c>
      <c r="G84" t="s">
        <v>19</v>
      </c>
      <c r="H84" t="s">
        <v>26</v>
      </c>
      <c r="I84">
        <v>10</v>
      </c>
    </row>
    <row r="85" spans="1:9" x14ac:dyDescent="0.3">
      <c r="A85" t="s">
        <v>126</v>
      </c>
      <c r="B85" s="1">
        <v>46047</v>
      </c>
      <c r="C85" s="2">
        <v>0.44944444444444442</v>
      </c>
      <c r="D85" t="s">
        <v>17</v>
      </c>
      <c r="E85">
        <v>2668</v>
      </c>
      <c r="F85" t="s">
        <v>18</v>
      </c>
      <c r="G85" t="s">
        <v>19</v>
      </c>
      <c r="H85" t="s">
        <v>31</v>
      </c>
      <c r="I85">
        <v>10</v>
      </c>
    </row>
    <row r="86" spans="1:9" x14ac:dyDescent="0.3">
      <c r="A86" t="s">
        <v>127</v>
      </c>
      <c r="B86" s="1">
        <v>46056</v>
      </c>
      <c r="C86" s="2">
        <v>0.44944444444444442</v>
      </c>
      <c r="D86" t="s">
        <v>12</v>
      </c>
      <c r="E86">
        <v>2127</v>
      </c>
      <c r="F86" t="s">
        <v>18</v>
      </c>
      <c r="G86" t="s">
        <v>19</v>
      </c>
      <c r="H86" t="s">
        <v>24</v>
      </c>
      <c r="I86">
        <v>10</v>
      </c>
    </row>
    <row r="87" spans="1:9" x14ac:dyDescent="0.3">
      <c r="A87" t="s">
        <v>128</v>
      </c>
      <c r="B87" s="1">
        <v>46048</v>
      </c>
      <c r="C87" s="2">
        <v>0.44944444444444442</v>
      </c>
      <c r="D87" t="s">
        <v>12</v>
      </c>
      <c r="E87">
        <v>2795</v>
      </c>
      <c r="F87" t="s">
        <v>18</v>
      </c>
      <c r="G87" t="s">
        <v>19</v>
      </c>
      <c r="H87" t="s">
        <v>26</v>
      </c>
      <c r="I87">
        <v>10</v>
      </c>
    </row>
    <row r="88" spans="1:9" x14ac:dyDescent="0.3">
      <c r="A88" t="s">
        <v>129</v>
      </c>
      <c r="B88" s="1">
        <v>46061</v>
      </c>
      <c r="C88" s="2">
        <v>0.44944444444444442</v>
      </c>
      <c r="D88" t="s">
        <v>42</v>
      </c>
      <c r="E88">
        <v>1595</v>
      </c>
      <c r="F88" t="s">
        <v>18</v>
      </c>
      <c r="G88" t="s">
        <v>19</v>
      </c>
      <c r="H88" t="s">
        <v>20</v>
      </c>
      <c r="I88">
        <v>10</v>
      </c>
    </row>
    <row r="89" spans="1:9" x14ac:dyDescent="0.3">
      <c r="A89" t="s">
        <v>130</v>
      </c>
      <c r="B89" s="1">
        <v>46037</v>
      </c>
      <c r="C89" s="2">
        <v>0.44944444444444442</v>
      </c>
      <c r="D89" t="s">
        <v>12</v>
      </c>
      <c r="E89">
        <v>491</v>
      </c>
      <c r="F89" t="s">
        <v>18</v>
      </c>
      <c r="G89" t="s">
        <v>19</v>
      </c>
      <c r="H89" t="s">
        <v>20</v>
      </c>
      <c r="I89">
        <v>10</v>
      </c>
    </row>
    <row r="90" spans="1:9" x14ac:dyDescent="0.3">
      <c r="A90" t="s">
        <v>131</v>
      </c>
      <c r="B90" s="1">
        <v>46051</v>
      </c>
      <c r="C90" s="2">
        <v>0.44944444444444442</v>
      </c>
      <c r="D90" t="s">
        <v>12</v>
      </c>
      <c r="E90">
        <v>4614</v>
      </c>
      <c r="F90" t="s">
        <v>18</v>
      </c>
      <c r="G90" t="s">
        <v>19</v>
      </c>
      <c r="H90" t="s">
        <v>26</v>
      </c>
      <c r="I90">
        <v>10</v>
      </c>
    </row>
    <row r="91" spans="1:9" x14ac:dyDescent="0.3">
      <c r="A91" t="s">
        <v>132</v>
      </c>
      <c r="B91" s="1">
        <v>46047</v>
      </c>
      <c r="C91" s="2">
        <v>0.44944444444444442</v>
      </c>
      <c r="D91" t="s">
        <v>42</v>
      </c>
      <c r="E91">
        <v>4574</v>
      </c>
      <c r="F91" t="s">
        <v>18</v>
      </c>
      <c r="G91" t="s">
        <v>19</v>
      </c>
      <c r="H91" t="s">
        <v>31</v>
      </c>
      <c r="I91">
        <v>10</v>
      </c>
    </row>
    <row r="92" spans="1:9" x14ac:dyDescent="0.3">
      <c r="A92" t="s">
        <v>133</v>
      </c>
      <c r="B92" s="1">
        <v>46039</v>
      </c>
      <c r="C92" s="2">
        <v>0.44944444444444442</v>
      </c>
      <c r="D92" t="s">
        <v>12</v>
      </c>
      <c r="E92">
        <v>3661</v>
      </c>
      <c r="F92" t="s">
        <v>18</v>
      </c>
      <c r="G92" t="s">
        <v>19</v>
      </c>
      <c r="H92" t="s">
        <v>20</v>
      </c>
      <c r="I92">
        <v>10</v>
      </c>
    </row>
    <row r="93" spans="1:9" x14ac:dyDescent="0.3">
      <c r="A93" t="s">
        <v>134</v>
      </c>
      <c r="B93" s="1">
        <v>46048</v>
      </c>
      <c r="C93" s="2">
        <v>0.44944444444444442</v>
      </c>
      <c r="D93" t="s">
        <v>12</v>
      </c>
      <c r="E93">
        <v>2378</v>
      </c>
      <c r="F93" t="s">
        <v>18</v>
      </c>
      <c r="G93" t="s">
        <v>19</v>
      </c>
      <c r="H93" t="s">
        <v>31</v>
      </c>
      <c r="I93">
        <v>10</v>
      </c>
    </row>
    <row r="94" spans="1:9" x14ac:dyDescent="0.3">
      <c r="A94" t="s">
        <v>135</v>
      </c>
      <c r="B94" s="1">
        <v>46041</v>
      </c>
      <c r="C94" s="2">
        <v>0.44944444444444442</v>
      </c>
      <c r="D94" t="s">
        <v>12</v>
      </c>
      <c r="E94">
        <v>3199</v>
      </c>
      <c r="F94" t="s">
        <v>58</v>
      </c>
      <c r="G94" t="s">
        <v>19</v>
      </c>
      <c r="H94" t="s">
        <v>20</v>
      </c>
      <c r="I94">
        <v>10</v>
      </c>
    </row>
    <row r="95" spans="1:9" x14ac:dyDescent="0.3">
      <c r="A95" t="s">
        <v>136</v>
      </c>
      <c r="B95" s="1">
        <v>46050</v>
      </c>
      <c r="C95" s="2">
        <v>0.44944444444444442</v>
      </c>
      <c r="D95" t="s">
        <v>17</v>
      </c>
      <c r="E95">
        <v>300</v>
      </c>
      <c r="F95" t="s">
        <v>18</v>
      </c>
      <c r="G95" t="s">
        <v>19</v>
      </c>
      <c r="H95" t="s">
        <v>20</v>
      </c>
      <c r="I95">
        <v>10</v>
      </c>
    </row>
    <row r="96" spans="1:9" x14ac:dyDescent="0.3">
      <c r="A96" t="s">
        <v>137</v>
      </c>
      <c r="B96" s="1">
        <v>46034</v>
      </c>
      <c r="C96" s="2">
        <v>0.44944444444444442</v>
      </c>
      <c r="D96" t="s">
        <v>17</v>
      </c>
      <c r="E96">
        <v>4975</v>
      </c>
      <c r="F96" t="s">
        <v>18</v>
      </c>
      <c r="G96" t="s">
        <v>19</v>
      </c>
      <c r="H96" t="s">
        <v>15</v>
      </c>
      <c r="I96">
        <v>10</v>
      </c>
    </row>
    <row r="97" spans="1:9" x14ac:dyDescent="0.3">
      <c r="A97" t="s">
        <v>138</v>
      </c>
      <c r="B97" s="1">
        <v>46059</v>
      </c>
      <c r="C97" s="2">
        <v>0.44944444444444442</v>
      </c>
      <c r="D97" t="s">
        <v>17</v>
      </c>
      <c r="E97">
        <v>3204</v>
      </c>
      <c r="F97" t="s">
        <v>18</v>
      </c>
      <c r="G97" t="s">
        <v>19</v>
      </c>
      <c r="H97" t="s">
        <v>20</v>
      </c>
      <c r="I97">
        <v>10</v>
      </c>
    </row>
    <row r="98" spans="1:9" x14ac:dyDescent="0.3">
      <c r="A98" t="s">
        <v>139</v>
      </c>
      <c r="B98" s="1">
        <v>46041</v>
      </c>
      <c r="C98" s="2">
        <v>0.44944444444444442</v>
      </c>
      <c r="D98" t="s">
        <v>42</v>
      </c>
      <c r="E98">
        <v>4698</v>
      </c>
      <c r="F98" t="s">
        <v>58</v>
      </c>
      <c r="G98" t="s">
        <v>19</v>
      </c>
      <c r="H98" t="s">
        <v>24</v>
      </c>
      <c r="I98">
        <v>10</v>
      </c>
    </row>
    <row r="99" spans="1:9" x14ac:dyDescent="0.3">
      <c r="A99" t="s">
        <v>140</v>
      </c>
      <c r="B99" s="1">
        <v>46050</v>
      </c>
      <c r="C99" s="2">
        <v>0.44944444444444442</v>
      </c>
      <c r="D99" t="s">
        <v>44</v>
      </c>
      <c r="E99">
        <v>2554</v>
      </c>
      <c r="F99" t="s">
        <v>13</v>
      </c>
      <c r="G99" t="s">
        <v>23</v>
      </c>
      <c r="H99" t="s">
        <v>26</v>
      </c>
      <c r="I99">
        <v>10</v>
      </c>
    </row>
    <row r="100" spans="1:9" x14ac:dyDescent="0.3">
      <c r="A100" t="s">
        <v>141</v>
      </c>
      <c r="B100" s="1">
        <v>46035</v>
      </c>
      <c r="C100" s="2">
        <v>0.44944444444444442</v>
      </c>
      <c r="D100" t="s">
        <v>12</v>
      </c>
      <c r="E100">
        <v>3745</v>
      </c>
      <c r="F100" t="s">
        <v>18</v>
      </c>
      <c r="G100" t="s">
        <v>19</v>
      </c>
      <c r="H100" t="s">
        <v>26</v>
      </c>
      <c r="I100">
        <v>10</v>
      </c>
    </row>
    <row r="101" spans="1:9" x14ac:dyDescent="0.3">
      <c r="A101" t="s">
        <v>142</v>
      </c>
      <c r="B101" s="1">
        <v>46047</v>
      </c>
      <c r="C101" s="2">
        <v>0.44944444444444442</v>
      </c>
      <c r="D101" t="s">
        <v>12</v>
      </c>
      <c r="E101">
        <v>904</v>
      </c>
      <c r="F101" t="s">
        <v>18</v>
      </c>
      <c r="G101" t="s">
        <v>19</v>
      </c>
      <c r="H101" t="s">
        <v>31</v>
      </c>
      <c r="I101">
        <v>10</v>
      </c>
    </row>
    <row r="102" spans="1:9" x14ac:dyDescent="0.3">
      <c r="B102" s="1"/>
      <c r="C102" s="2"/>
    </row>
    <row r="105" spans="1:9" x14ac:dyDescent="0.3">
      <c r="B105" t="s">
        <v>3</v>
      </c>
      <c r="C105" t="s">
        <v>27</v>
      </c>
      <c r="D105" t="s">
        <v>28</v>
      </c>
      <c r="E105" t="s">
        <v>29</v>
      </c>
    </row>
    <row r="106" spans="1:9" x14ac:dyDescent="0.3">
      <c r="E106" t="s">
        <v>32</v>
      </c>
    </row>
    <row r="107" spans="1:9" x14ac:dyDescent="0.3">
      <c r="B107" t="s">
        <v>17</v>
      </c>
      <c r="C107">
        <v>3</v>
      </c>
      <c r="D107">
        <v>26</v>
      </c>
      <c r="E107">
        <v>11.53846154</v>
      </c>
    </row>
    <row r="108" spans="1:9" x14ac:dyDescent="0.3">
      <c r="B108" t="s">
        <v>12</v>
      </c>
      <c r="C108">
        <v>4</v>
      </c>
      <c r="D108">
        <v>16</v>
      </c>
      <c r="E108">
        <v>25</v>
      </c>
    </row>
    <row r="109" spans="1:9" x14ac:dyDescent="0.3">
      <c r="B109" t="s">
        <v>42</v>
      </c>
      <c r="C109">
        <v>1</v>
      </c>
      <c r="D109">
        <v>22</v>
      </c>
      <c r="E109">
        <v>4.5454545450000001</v>
      </c>
    </row>
    <row r="110" spans="1:9" x14ac:dyDescent="0.3">
      <c r="B110" t="s">
        <v>22</v>
      </c>
      <c r="C110">
        <v>3</v>
      </c>
      <c r="D110">
        <v>19</v>
      </c>
      <c r="E110">
        <v>15.78947368</v>
      </c>
    </row>
    <row r="111" spans="1:9" x14ac:dyDescent="0.3">
      <c r="B111" t="s">
        <v>44</v>
      </c>
      <c r="C111">
        <v>8</v>
      </c>
      <c r="D111">
        <v>17</v>
      </c>
      <c r="E111">
        <v>47.058823529999998</v>
      </c>
    </row>
    <row r="112" spans="1:9" x14ac:dyDescent="0.3">
      <c r="B112" t="s">
        <v>47</v>
      </c>
      <c r="C112">
        <v>19</v>
      </c>
      <c r="D112">
        <v>100</v>
      </c>
      <c r="E112">
        <v>103.9322133</v>
      </c>
    </row>
    <row r="115" spans="2:3" x14ac:dyDescent="0.3">
      <c r="B115" t="s">
        <v>9</v>
      </c>
      <c r="C115" t="s">
        <v>10</v>
      </c>
    </row>
    <row r="116" spans="2:3" x14ac:dyDescent="0.3">
      <c r="B116">
        <v>19</v>
      </c>
      <c r="C116">
        <v>19</v>
      </c>
    </row>
  </sheetData>
  <phoneticPr fontId="4" type="noConversion"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D260-2CE1-40EE-B515-F5CC6E6EE08B}">
  <sheetPr codeName="Sheet4"/>
  <dimension ref="A1:I101"/>
  <sheetViews>
    <sheetView workbookViewId="0">
      <selection activeCell="J19" sqref="J19"/>
    </sheetView>
  </sheetViews>
  <sheetFormatPr defaultRowHeight="14.4" x14ac:dyDescent="0.3"/>
  <cols>
    <col min="1" max="1" width="16" customWidth="1"/>
    <col min="2" max="2" width="16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11</v>
      </c>
      <c r="B2" s="1">
        <v>46047</v>
      </c>
      <c r="C2" s="2">
        <v>0.44944444444444442</v>
      </c>
      <c r="D2" t="s">
        <v>12</v>
      </c>
      <c r="E2">
        <v>960</v>
      </c>
      <c r="F2" t="s">
        <v>13</v>
      </c>
      <c r="G2" t="s">
        <v>14</v>
      </c>
      <c r="H2" t="s">
        <v>15</v>
      </c>
      <c r="I2">
        <v>10</v>
      </c>
    </row>
    <row r="3" spans="1:9" x14ac:dyDescent="0.3">
      <c r="A3" t="s">
        <v>16</v>
      </c>
      <c r="B3" s="1">
        <v>46035</v>
      </c>
      <c r="C3" s="2">
        <v>0.44944444444444442</v>
      </c>
      <c r="D3" t="s">
        <v>17</v>
      </c>
      <c r="E3">
        <v>3872</v>
      </c>
      <c r="F3" t="s">
        <v>18</v>
      </c>
      <c r="G3" t="s">
        <v>19</v>
      </c>
      <c r="H3" t="s">
        <v>20</v>
      </c>
      <c r="I3">
        <v>10</v>
      </c>
    </row>
    <row r="4" spans="1:9" x14ac:dyDescent="0.3">
      <c r="A4" t="s">
        <v>21</v>
      </c>
      <c r="B4" s="1">
        <v>46053</v>
      </c>
      <c r="C4" s="2">
        <v>0.44944444444444442</v>
      </c>
      <c r="D4" t="s">
        <v>22</v>
      </c>
      <c r="E4">
        <v>3192</v>
      </c>
      <c r="F4" t="s">
        <v>13</v>
      </c>
      <c r="G4" t="s">
        <v>23</v>
      </c>
      <c r="H4" t="s">
        <v>24</v>
      </c>
      <c r="I4">
        <v>10</v>
      </c>
    </row>
    <row r="5" spans="1:9" x14ac:dyDescent="0.3">
      <c r="A5" t="s">
        <v>25</v>
      </c>
      <c r="B5" s="1">
        <v>46049</v>
      </c>
      <c r="C5" s="2">
        <v>0.44944444444444442</v>
      </c>
      <c r="D5" t="s">
        <v>22</v>
      </c>
      <c r="E5">
        <v>566</v>
      </c>
      <c r="F5" t="s">
        <v>18</v>
      </c>
      <c r="G5" t="s">
        <v>19</v>
      </c>
      <c r="H5" t="s">
        <v>26</v>
      </c>
      <c r="I5">
        <v>10</v>
      </c>
    </row>
    <row r="6" spans="1:9" x14ac:dyDescent="0.3">
      <c r="A6" t="s">
        <v>30</v>
      </c>
      <c r="B6" s="1">
        <v>46051</v>
      </c>
      <c r="C6" s="2">
        <v>0.44944444444444442</v>
      </c>
      <c r="D6" t="s">
        <v>17</v>
      </c>
      <c r="E6">
        <v>4526</v>
      </c>
      <c r="F6" t="s">
        <v>18</v>
      </c>
      <c r="G6" t="s">
        <v>19</v>
      </c>
      <c r="H6" t="s">
        <v>31</v>
      </c>
      <c r="I6">
        <v>10</v>
      </c>
    </row>
    <row r="7" spans="1:9" x14ac:dyDescent="0.3">
      <c r="A7" t="s">
        <v>33</v>
      </c>
      <c r="B7" s="1">
        <v>46049</v>
      </c>
      <c r="C7" s="2">
        <v>0.44944444444444442</v>
      </c>
      <c r="D7" t="s">
        <v>12</v>
      </c>
      <c r="E7">
        <v>3544</v>
      </c>
      <c r="F7" t="s">
        <v>13</v>
      </c>
      <c r="G7" t="s">
        <v>34</v>
      </c>
      <c r="H7" t="s">
        <v>20</v>
      </c>
      <c r="I7">
        <v>10</v>
      </c>
    </row>
    <row r="8" spans="1:9" x14ac:dyDescent="0.3">
      <c r="A8" t="s">
        <v>39</v>
      </c>
      <c r="B8" s="1">
        <v>46035</v>
      </c>
      <c r="C8" s="2">
        <v>0.44944444444444442</v>
      </c>
      <c r="D8" t="s">
        <v>17</v>
      </c>
      <c r="E8">
        <v>3271</v>
      </c>
      <c r="F8" t="s">
        <v>13</v>
      </c>
      <c r="G8" t="s">
        <v>40</v>
      </c>
      <c r="H8" t="s">
        <v>24</v>
      </c>
      <c r="I8">
        <v>10</v>
      </c>
    </row>
    <row r="9" spans="1:9" x14ac:dyDescent="0.3">
      <c r="A9" t="s">
        <v>41</v>
      </c>
      <c r="B9" s="1">
        <v>46061</v>
      </c>
      <c r="C9" s="2">
        <v>0.44944444444444442</v>
      </c>
      <c r="D9" t="s">
        <v>22</v>
      </c>
      <c r="E9">
        <v>3019</v>
      </c>
      <c r="F9" t="s">
        <v>18</v>
      </c>
      <c r="G9" t="s">
        <v>19</v>
      </c>
      <c r="H9" t="s">
        <v>31</v>
      </c>
      <c r="I9">
        <v>10</v>
      </c>
    </row>
    <row r="10" spans="1:9" x14ac:dyDescent="0.3">
      <c r="A10" t="s">
        <v>43</v>
      </c>
      <c r="B10" s="1">
        <v>46060</v>
      </c>
      <c r="C10" s="2">
        <v>0.44944444444444442</v>
      </c>
      <c r="D10" t="s">
        <v>44</v>
      </c>
      <c r="E10">
        <v>230</v>
      </c>
      <c r="F10" t="s">
        <v>13</v>
      </c>
      <c r="G10" t="s">
        <v>40</v>
      </c>
      <c r="H10" t="s">
        <v>26</v>
      </c>
      <c r="I10">
        <v>10</v>
      </c>
    </row>
    <row r="11" spans="1:9" x14ac:dyDescent="0.3">
      <c r="A11" t="s">
        <v>45</v>
      </c>
      <c r="B11" s="1">
        <v>46061</v>
      </c>
      <c r="C11" s="2">
        <v>0.44944444444444442</v>
      </c>
      <c r="D11" t="s">
        <v>44</v>
      </c>
      <c r="E11">
        <v>1785</v>
      </c>
      <c r="F11" t="s">
        <v>18</v>
      </c>
      <c r="G11" t="s">
        <v>19</v>
      </c>
      <c r="H11" t="s">
        <v>31</v>
      </c>
      <c r="I11">
        <v>10</v>
      </c>
    </row>
    <row r="12" spans="1:9" x14ac:dyDescent="0.3">
      <c r="A12" t="s">
        <v>46</v>
      </c>
      <c r="B12" s="1">
        <v>46056</v>
      </c>
      <c r="C12" s="2">
        <v>0.44944444444444442</v>
      </c>
      <c r="D12" t="s">
        <v>42</v>
      </c>
      <c r="E12">
        <v>869</v>
      </c>
      <c r="F12" t="s">
        <v>18</v>
      </c>
      <c r="G12" t="s">
        <v>19</v>
      </c>
      <c r="H12" t="s">
        <v>24</v>
      </c>
      <c r="I12">
        <v>10</v>
      </c>
    </row>
    <row r="13" spans="1:9" x14ac:dyDescent="0.3">
      <c r="A13" t="s">
        <v>48</v>
      </c>
      <c r="B13" s="1">
        <v>46057</v>
      </c>
      <c r="C13" s="2">
        <v>0.44944444444444442</v>
      </c>
      <c r="D13" t="s">
        <v>17</v>
      </c>
      <c r="E13">
        <v>2491</v>
      </c>
      <c r="F13" t="s">
        <v>18</v>
      </c>
      <c r="G13" t="s">
        <v>19</v>
      </c>
      <c r="H13" t="s">
        <v>31</v>
      </c>
      <c r="I13">
        <v>10</v>
      </c>
    </row>
    <row r="14" spans="1:9" x14ac:dyDescent="0.3">
      <c r="A14" t="s">
        <v>49</v>
      </c>
      <c r="B14" s="1">
        <v>46061</v>
      </c>
      <c r="C14" s="2">
        <v>0.44944444444444442</v>
      </c>
      <c r="D14" t="s">
        <v>17</v>
      </c>
      <c r="E14">
        <v>2533</v>
      </c>
      <c r="F14" t="s">
        <v>18</v>
      </c>
      <c r="G14" t="s">
        <v>19</v>
      </c>
      <c r="H14" t="s">
        <v>15</v>
      </c>
      <c r="I14">
        <v>10</v>
      </c>
    </row>
    <row r="15" spans="1:9" x14ac:dyDescent="0.3">
      <c r="A15" t="s">
        <v>50</v>
      </c>
      <c r="B15" s="1">
        <v>46035</v>
      </c>
      <c r="C15" s="2">
        <v>0.44944444444444442</v>
      </c>
      <c r="D15" t="s">
        <v>42</v>
      </c>
      <c r="E15">
        <v>1284</v>
      </c>
      <c r="F15" t="s">
        <v>18</v>
      </c>
      <c r="G15" t="s">
        <v>19</v>
      </c>
      <c r="H15" t="s">
        <v>31</v>
      </c>
      <c r="I15">
        <v>10</v>
      </c>
    </row>
    <row r="16" spans="1:9" x14ac:dyDescent="0.3">
      <c r="A16" t="s">
        <v>51</v>
      </c>
      <c r="B16" s="1">
        <v>46061</v>
      </c>
      <c r="C16" s="2">
        <v>0.44944444444444442</v>
      </c>
      <c r="D16" t="s">
        <v>42</v>
      </c>
      <c r="E16">
        <v>4655</v>
      </c>
      <c r="F16" t="s">
        <v>18</v>
      </c>
      <c r="G16" t="s">
        <v>19</v>
      </c>
      <c r="H16" t="s">
        <v>20</v>
      </c>
      <c r="I16">
        <v>10</v>
      </c>
    </row>
    <row r="17" spans="1:9" x14ac:dyDescent="0.3">
      <c r="A17" t="s">
        <v>53</v>
      </c>
      <c r="B17" s="1">
        <v>46046</v>
      </c>
      <c r="C17" s="2">
        <v>0.44944444444444442</v>
      </c>
      <c r="D17" t="s">
        <v>42</v>
      </c>
      <c r="E17">
        <v>3485</v>
      </c>
      <c r="F17" t="s">
        <v>18</v>
      </c>
      <c r="G17" t="s">
        <v>19</v>
      </c>
      <c r="H17" t="s">
        <v>20</v>
      </c>
      <c r="I17">
        <v>10</v>
      </c>
    </row>
    <row r="18" spans="1:9" x14ac:dyDescent="0.3">
      <c r="A18" t="s">
        <v>54</v>
      </c>
      <c r="B18" s="1">
        <v>46057</v>
      </c>
      <c r="C18" s="2">
        <v>0.44944444444444442</v>
      </c>
      <c r="D18" t="s">
        <v>22</v>
      </c>
      <c r="E18">
        <v>4217</v>
      </c>
      <c r="F18" t="s">
        <v>18</v>
      </c>
      <c r="G18" t="s">
        <v>19</v>
      </c>
      <c r="H18" t="s">
        <v>15</v>
      </c>
      <c r="I18">
        <v>10</v>
      </c>
    </row>
    <row r="19" spans="1:9" x14ac:dyDescent="0.3">
      <c r="A19" t="s">
        <v>55</v>
      </c>
      <c r="B19" s="1">
        <v>46048</v>
      </c>
      <c r="C19" s="2">
        <v>0.44944444444444442</v>
      </c>
      <c r="D19" t="s">
        <v>17</v>
      </c>
      <c r="E19">
        <v>4943</v>
      </c>
      <c r="F19" t="s">
        <v>18</v>
      </c>
      <c r="G19" t="s">
        <v>19</v>
      </c>
      <c r="H19" t="s">
        <v>24</v>
      </c>
      <c r="I19">
        <v>10</v>
      </c>
    </row>
    <row r="20" spans="1:9" x14ac:dyDescent="0.3">
      <c r="A20" t="s">
        <v>57</v>
      </c>
      <c r="B20" s="1">
        <v>46048</v>
      </c>
      <c r="C20" s="2">
        <v>0.44944444444444442</v>
      </c>
      <c r="D20" t="s">
        <v>22</v>
      </c>
      <c r="E20">
        <v>3004</v>
      </c>
      <c r="F20" t="s">
        <v>58</v>
      </c>
      <c r="G20" t="s">
        <v>19</v>
      </c>
      <c r="H20" t="s">
        <v>20</v>
      </c>
      <c r="I20">
        <v>10</v>
      </c>
    </row>
    <row r="21" spans="1:9" x14ac:dyDescent="0.3">
      <c r="A21" t="s">
        <v>59</v>
      </c>
      <c r="B21" s="1">
        <v>46055</v>
      </c>
      <c r="C21" s="2">
        <v>0.44944444444444442</v>
      </c>
      <c r="D21" t="s">
        <v>42</v>
      </c>
      <c r="E21">
        <v>574</v>
      </c>
      <c r="F21" t="s">
        <v>18</v>
      </c>
      <c r="G21" t="s">
        <v>19</v>
      </c>
      <c r="H21" t="s">
        <v>26</v>
      </c>
      <c r="I21">
        <v>10</v>
      </c>
    </row>
    <row r="22" spans="1:9" x14ac:dyDescent="0.3">
      <c r="A22" t="s">
        <v>60</v>
      </c>
      <c r="B22" s="1">
        <v>46060</v>
      </c>
      <c r="C22" s="2">
        <v>0.44944444444444442</v>
      </c>
      <c r="D22" t="s">
        <v>17</v>
      </c>
      <c r="E22">
        <v>1182</v>
      </c>
      <c r="F22" t="s">
        <v>18</v>
      </c>
      <c r="G22" t="s">
        <v>19</v>
      </c>
      <c r="H22" t="s">
        <v>20</v>
      </c>
      <c r="I22">
        <v>10</v>
      </c>
    </row>
    <row r="23" spans="1:9" x14ac:dyDescent="0.3">
      <c r="A23" t="s">
        <v>63</v>
      </c>
      <c r="B23" s="1">
        <v>46049</v>
      </c>
      <c r="C23" s="2">
        <v>0.44944444444444442</v>
      </c>
      <c r="D23" t="s">
        <v>22</v>
      </c>
      <c r="E23">
        <v>2658</v>
      </c>
      <c r="F23" t="s">
        <v>13</v>
      </c>
      <c r="G23" t="s">
        <v>14</v>
      </c>
      <c r="H23" t="s">
        <v>20</v>
      </c>
      <c r="I23">
        <v>10</v>
      </c>
    </row>
    <row r="24" spans="1:9" x14ac:dyDescent="0.3">
      <c r="A24" t="s">
        <v>64</v>
      </c>
      <c r="B24" s="1">
        <v>46053</v>
      </c>
      <c r="C24" s="2">
        <v>0.44944444444444442</v>
      </c>
      <c r="D24" t="s">
        <v>22</v>
      </c>
      <c r="E24">
        <v>2147</v>
      </c>
      <c r="F24" t="s">
        <v>18</v>
      </c>
      <c r="G24" t="s">
        <v>19</v>
      </c>
      <c r="H24" t="s">
        <v>24</v>
      </c>
      <c r="I24">
        <v>10</v>
      </c>
    </row>
    <row r="25" spans="1:9" x14ac:dyDescent="0.3">
      <c r="A25" t="s">
        <v>65</v>
      </c>
      <c r="B25" s="1">
        <v>46060</v>
      </c>
      <c r="C25" s="2">
        <v>0.44944444444444442</v>
      </c>
      <c r="D25" t="s">
        <v>42</v>
      </c>
      <c r="E25">
        <v>2847</v>
      </c>
      <c r="F25" t="s">
        <v>18</v>
      </c>
      <c r="G25" t="s">
        <v>19</v>
      </c>
      <c r="H25" t="s">
        <v>31</v>
      </c>
      <c r="I25">
        <v>10</v>
      </c>
    </row>
    <row r="26" spans="1:9" x14ac:dyDescent="0.3">
      <c r="A26" t="s">
        <v>67</v>
      </c>
      <c r="B26" s="1">
        <v>46049</v>
      </c>
      <c r="C26" s="2">
        <v>0.44944444444444442</v>
      </c>
      <c r="D26" t="s">
        <v>17</v>
      </c>
      <c r="E26">
        <v>1075</v>
      </c>
      <c r="F26" t="s">
        <v>18</v>
      </c>
      <c r="G26" t="s">
        <v>19</v>
      </c>
      <c r="H26" t="s">
        <v>20</v>
      </c>
      <c r="I26">
        <v>10</v>
      </c>
    </row>
    <row r="27" spans="1:9" x14ac:dyDescent="0.3">
      <c r="A27" t="s">
        <v>68</v>
      </c>
      <c r="B27" s="1">
        <v>46035</v>
      </c>
      <c r="C27" s="2">
        <v>0.44944444444444442</v>
      </c>
      <c r="D27" t="s">
        <v>42</v>
      </c>
      <c r="E27">
        <v>1906</v>
      </c>
      <c r="F27" t="s">
        <v>18</v>
      </c>
      <c r="G27" t="s">
        <v>19</v>
      </c>
      <c r="H27" t="s">
        <v>15</v>
      </c>
      <c r="I27">
        <v>10</v>
      </c>
    </row>
    <row r="28" spans="1:9" x14ac:dyDescent="0.3">
      <c r="A28" t="s">
        <v>69</v>
      </c>
      <c r="B28" s="1">
        <v>46033</v>
      </c>
      <c r="C28" s="2">
        <v>0.44944444444444442</v>
      </c>
      <c r="D28" t="s">
        <v>17</v>
      </c>
      <c r="E28">
        <v>289</v>
      </c>
      <c r="F28" t="s">
        <v>58</v>
      </c>
      <c r="G28" t="s">
        <v>19</v>
      </c>
      <c r="H28" t="s">
        <v>31</v>
      </c>
      <c r="I28">
        <v>10</v>
      </c>
    </row>
    <row r="29" spans="1:9" x14ac:dyDescent="0.3">
      <c r="A29" t="s">
        <v>70</v>
      </c>
      <c r="B29" s="1">
        <v>46032</v>
      </c>
      <c r="C29" s="2">
        <v>0.44944444444444442</v>
      </c>
      <c r="D29" t="s">
        <v>44</v>
      </c>
      <c r="E29">
        <v>2834</v>
      </c>
      <c r="F29" t="s">
        <v>13</v>
      </c>
      <c r="G29" t="s">
        <v>14</v>
      </c>
      <c r="H29" t="s">
        <v>26</v>
      </c>
      <c r="I29">
        <v>10</v>
      </c>
    </row>
    <row r="30" spans="1:9" x14ac:dyDescent="0.3">
      <c r="A30" t="s">
        <v>71</v>
      </c>
      <c r="B30" s="1">
        <v>46048</v>
      </c>
      <c r="C30" s="2">
        <v>0.44944444444444442</v>
      </c>
      <c r="D30" t="s">
        <v>12</v>
      </c>
      <c r="E30">
        <v>3105</v>
      </c>
      <c r="F30" t="s">
        <v>18</v>
      </c>
      <c r="G30" t="s">
        <v>19</v>
      </c>
      <c r="H30" t="s">
        <v>24</v>
      </c>
      <c r="I30">
        <v>10</v>
      </c>
    </row>
    <row r="31" spans="1:9" x14ac:dyDescent="0.3">
      <c r="A31" t="s">
        <v>72</v>
      </c>
      <c r="B31" s="1">
        <v>46040</v>
      </c>
      <c r="C31" s="2">
        <v>0.44944444444444442</v>
      </c>
      <c r="D31" t="s">
        <v>12</v>
      </c>
      <c r="E31">
        <v>4758</v>
      </c>
      <c r="F31" t="s">
        <v>13</v>
      </c>
      <c r="G31" t="s">
        <v>23</v>
      </c>
      <c r="H31" t="s">
        <v>26</v>
      </c>
      <c r="I31">
        <v>10</v>
      </c>
    </row>
    <row r="32" spans="1:9" x14ac:dyDescent="0.3">
      <c r="A32" t="s">
        <v>73</v>
      </c>
      <c r="B32" s="1">
        <v>46060</v>
      </c>
      <c r="C32" s="2">
        <v>0.44944444444444442</v>
      </c>
      <c r="D32" t="s">
        <v>12</v>
      </c>
      <c r="E32">
        <v>1999</v>
      </c>
      <c r="F32" t="s">
        <v>13</v>
      </c>
      <c r="G32" t="s">
        <v>34</v>
      </c>
      <c r="H32" t="s">
        <v>31</v>
      </c>
      <c r="I32">
        <v>10</v>
      </c>
    </row>
    <row r="33" spans="1:9" x14ac:dyDescent="0.3">
      <c r="A33" t="s">
        <v>74</v>
      </c>
      <c r="B33" s="1">
        <v>46033</v>
      </c>
      <c r="C33" s="2">
        <v>0.44944444444444442</v>
      </c>
      <c r="D33" t="s">
        <v>42</v>
      </c>
      <c r="E33">
        <v>1367</v>
      </c>
      <c r="F33" t="s">
        <v>18</v>
      </c>
      <c r="G33" t="s">
        <v>19</v>
      </c>
      <c r="H33" t="s">
        <v>31</v>
      </c>
      <c r="I33">
        <v>10</v>
      </c>
    </row>
    <row r="34" spans="1:9" x14ac:dyDescent="0.3">
      <c r="A34" t="s">
        <v>75</v>
      </c>
      <c r="B34" s="1">
        <v>46061</v>
      </c>
      <c r="C34" s="2">
        <v>0.44944444444444442</v>
      </c>
      <c r="D34" t="s">
        <v>44</v>
      </c>
      <c r="E34">
        <v>1628</v>
      </c>
      <c r="F34" t="s">
        <v>13</v>
      </c>
      <c r="G34" t="s">
        <v>23</v>
      </c>
      <c r="H34" t="s">
        <v>31</v>
      </c>
      <c r="I34">
        <v>10</v>
      </c>
    </row>
    <row r="35" spans="1:9" x14ac:dyDescent="0.3">
      <c r="A35" t="s">
        <v>76</v>
      </c>
      <c r="B35" s="1">
        <v>46056</v>
      </c>
      <c r="C35" s="2">
        <v>0.44944444444444442</v>
      </c>
      <c r="D35" t="s">
        <v>17</v>
      </c>
      <c r="E35">
        <v>3302</v>
      </c>
      <c r="F35" t="s">
        <v>18</v>
      </c>
      <c r="G35" t="s">
        <v>19</v>
      </c>
      <c r="H35" t="s">
        <v>26</v>
      </c>
      <c r="I35">
        <v>10</v>
      </c>
    </row>
    <row r="36" spans="1:9" x14ac:dyDescent="0.3">
      <c r="A36" t="s">
        <v>77</v>
      </c>
      <c r="B36" s="1">
        <v>46052</v>
      </c>
      <c r="C36" s="2">
        <v>0.44944444444444442</v>
      </c>
      <c r="D36" t="s">
        <v>22</v>
      </c>
      <c r="E36">
        <v>3656</v>
      </c>
      <c r="F36" t="s">
        <v>13</v>
      </c>
      <c r="G36" t="s">
        <v>23</v>
      </c>
      <c r="H36" t="s">
        <v>31</v>
      </c>
      <c r="I36">
        <v>10</v>
      </c>
    </row>
    <row r="37" spans="1:9" x14ac:dyDescent="0.3">
      <c r="A37" t="s">
        <v>78</v>
      </c>
      <c r="B37" s="1">
        <v>46060</v>
      </c>
      <c r="C37" s="2">
        <v>0.44944444444444442</v>
      </c>
      <c r="D37" t="s">
        <v>17</v>
      </c>
      <c r="E37">
        <v>3990</v>
      </c>
      <c r="F37" t="s">
        <v>13</v>
      </c>
      <c r="G37" t="s">
        <v>23</v>
      </c>
      <c r="H37" t="s">
        <v>26</v>
      </c>
      <c r="I37">
        <v>10</v>
      </c>
    </row>
    <row r="38" spans="1:9" x14ac:dyDescent="0.3">
      <c r="A38" t="s">
        <v>79</v>
      </c>
      <c r="B38" s="1">
        <v>46058</v>
      </c>
      <c r="C38" s="2">
        <v>0.44944444444444442</v>
      </c>
      <c r="D38" t="s">
        <v>22</v>
      </c>
      <c r="E38">
        <v>746</v>
      </c>
      <c r="F38" t="s">
        <v>18</v>
      </c>
      <c r="G38" t="s">
        <v>19</v>
      </c>
      <c r="H38" t="s">
        <v>31</v>
      </c>
      <c r="I38">
        <v>10</v>
      </c>
    </row>
    <row r="39" spans="1:9" x14ac:dyDescent="0.3">
      <c r="A39" t="s">
        <v>80</v>
      </c>
      <c r="B39" s="1">
        <v>46037</v>
      </c>
      <c r="C39" s="2">
        <v>0.44944444444444442</v>
      </c>
      <c r="D39" t="s">
        <v>17</v>
      </c>
      <c r="E39">
        <v>2988</v>
      </c>
      <c r="F39" t="s">
        <v>18</v>
      </c>
      <c r="G39" t="s">
        <v>19</v>
      </c>
      <c r="H39" t="s">
        <v>15</v>
      </c>
      <c r="I39">
        <v>10</v>
      </c>
    </row>
    <row r="40" spans="1:9" x14ac:dyDescent="0.3">
      <c r="A40" t="s">
        <v>81</v>
      </c>
      <c r="B40" s="1">
        <v>46036</v>
      </c>
      <c r="C40" s="2">
        <v>0.44944444444444442</v>
      </c>
      <c r="D40" t="s">
        <v>44</v>
      </c>
      <c r="E40">
        <v>2535</v>
      </c>
      <c r="F40" t="s">
        <v>18</v>
      </c>
      <c r="G40" t="s">
        <v>19</v>
      </c>
      <c r="H40" t="s">
        <v>31</v>
      </c>
      <c r="I40">
        <v>10</v>
      </c>
    </row>
    <row r="41" spans="1:9" x14ac:dyDescent="0.3">
      <c r="A41" t="s">
        <v>82</v>
      </c>
      <c r="B41" s="1">
        <v>46040</v>
      </c>
      <c r="C41" s="2">
        <v>0.44944444444444442</v>
      </c>
      <c r="D41" t="s">
        <v>22</v>
      </c>
      <c r="E41">
        <v>700</v>
      </c>
      <c r="F41" t="s">
        <v>18</v>
      </c>
      <c r="G41" t="s">
        <v>19</v>
      </c>
      <c r="H41" t="s">
        <v>26</v>
      </c>
      <c r="I41">
        <v>10</v>
      </c>
    </row>
    <row r="42" spans="1:9" x14ac:dyDescent="0.3">
      <c r="A42" t="s">
        <v>83</v>
      </c>
      <c r="B42" s="1">
        <v>46049</v>
      </c>
      <c r="C42" s="2">
        <v>0.44944444444444442</v>
      </c>
      <c r="D42" t="s">
        <v>42</v>
      </c>
      <c r="E42">
        <v>2463</v>
      </c>
      <c r="F42" t="s">
        <v>13</v>
      </c>
      <c r="G42" t="s">
        <v>40</v>
      </c>
      <c r="H42" t="s">
        <v>20</v>
      </c>
      <c r="I42">
        <v>10</v>
      </c>
    </row>
    <row r="43" spans="1:9" x14ac:dyDescent="0.3">
      <c r="A43" t="s">
        <v>84</v>
      </c>
      <c r="B43" s="1">
        <v>46048</v>
      </c>
      <c r="C43" s="2">
        <v>0.44944444444444442</v>
      </c>
      <c r="D43" t="s">
        <v>17</v>
      </c>
      <c r="E43">
        <v>2161</v>
      </c>
      <c r="F43" t="s">
        <v>13</v>
      </c>
      <c r="G43" t="s">
        <v>34</v>
      </c>
      <c r="H43" t="s">
        <v>31</v>
      </c>
      <c r="I43">
        <v>10</v>
      </c>
    </row>
    <row r="44" spans="1:9" x14ac:dyDescent="0.3">
      <c r="A44" t="s">
        <v>85</v>
      </c>
      <c r="B44" s="1">
        <v>46037</v>
      </c>
      <c r="C44" s="2">
        <v>0.44944444444444442</v>
      </c>
      <c r="D44" t="s">
        <v>17</v>
      </c>
      <c r="E44">
        <v>341</v>
      </c>
      <c r="F44" t="s">
        <v>18</v>
      </c>
      <c r="G44" t="s">
        <v>19</v>
      </c>
      <c r="H44" t="s">
        <v>20</v>
      </c>
      <c r="I44">
        <v>10</v>
      </c>
    </row>
    <row r="45" spans="1:9" x14ac:dyDescent="0.3">
      <c r="A45" t="s">
        <v>86</v>
      </c>
      <c r="B45" s="1">
        <v>46034</v>
      </c>
      <c r="C45" s="2">
        <v>0.44944444444444442</v>
      </c>
      <c r="D45" t="s">
        <v>22</v>
      </c>
      <c r="E45">
        <v>2141</v>
      </c>
      <c r="F45" t="s">
        <v>18</v>
      </c>
      <c r="G45" t="s">
        <v>19</v>
      </c>
      <c r="H45" t="s">
        <v>15</v>
      </c>
      <c r="I45">
        <v>10</v>
      </c>
    </row>
    <row r="46" spans="1:9" x14ac:dyDescent="0.3">
      <c r="A46" t="s">
        <v>87</v>
      </c>
      <c r="B46" s="1">
        <v>46037</v>
      </c>
      <c r="C46" s="2">
        <v>0.44944444444444442</v>
      </c>
      <c r="D46" t="s">
        <v>42</v>
      </c>
      <c r="E46">
        <v>2924</v>
      </c>
      <c r="F46" t="s">
        <v>18</v>
      </c>
      <c r="G46" t="s">
        <v>19</v>
      </c>
      <c r="H46" t="s">
        <v>24</v>
      </c>
      <c r="I46">
        <v>10</v>
      </c>
    </row>
    <row r="47" spans="1:9" x14ac:dyDescent="0.3">
      <c r="A47" t="s">
        <v>88</v>
      </c>
      <c r="B47" s="1">
        <v>46059</v>
      </c>
      <c r="C47" s="2">
        <v>0.44944444444444442</v>
      </c>
      <c r="D47" t="s">
        <v>42</v>
      </c>
      <c r="E47">
        <v>2712</v>
      </c>
      <c r="F47" t="s">
        <v>18</v>
      </c>
      <c r="G47" t="s">
        <v>19</v>
      </c>
      <c r="H47" t="s">
        <v>15</v>
      </c>
      <c r="I47">
        <v>10</v>
      </c>
    </row>
    <row r="48" spans="1:9" x14ac:dyDescent="0.3">
      <c r="A48" t="s">
        <v>89</v>
      </c>
      <c r="B48" s="1">
        <v>46040</v>
      </c>
      <c r="C48" s="2">
        <v>0.44944444444444442</v>
      </c>
      <c r="D48" t="s">
        <v>44</v>
      </c>
      <c r="E48">
        <v>1463</v>
      </c>
      <c r="F48" t="s">
        <v>18</v>
      </c>
      <c r="G48" t="s">
        <v>19</v>
      </c>
      <c r="H48" t="s">
        <v>31</v>
      </c>
      <c r="I48">
        <v>10</v>
      </c>
    </row>
    <row r="49" spans="1:9" x14ac:dyDescent="0.3">
      <c r="A49" t="s">
        <v>90</v>
      </c>
      <c r="B49" s="1">
        <v>46052</v>
      </c>
      <c r="C49" s="2">
        <v>0.44944444444444442</v>
      </c>
      <c r="D49" t="s">
        <v>42</v>
      </c>
      <c r="E49">
        <v>1578</v>
      </c>
      <c r="F49" t="s">
        <v>18</v>
      </c>
      <c r="G49" t="s">
        <v>19</v>
      </c>
      <c r="H49" t="s">
        <v>20</v>
      </c>
      <c r="I49">
        <v>10</v>
      </c>
    </row>
    <row r="50" spans="1:9" x14ac:dyDescent="0.3">
      <c r="A50" t="s">
        <v>91</v>
      </c>
      <c r="B50" s="1">
        <v>46042</v>
      </c>
      <c r="C50" s="2">
        <v>0.44944444444444442</v>
      </c>
      <c r="D50" t="s">
        <v>42</v>
      </c>
      <c r="E50">
        <v>2656</v>
      </c>
      <c r="F50" t="s">
        <v>58</v>
      </c>
      <c r="G50" t="s">
        <v>19</v>
      </c>
      <c r="H50" t="s">
        <v>20</v>
      </c>
      <c r="I50">
        <v>10</v>
      </c>
    </row>
    <row r="51" spans="1:9" x14ac:dyDescent="0.3">
      <c r="A51" t="s">
        <v>92</v>
      </c>
      <c r="B51" s="1">
        <v>46055</v>
      </c>
      <c r="C51" s="2">
        <v>0.44944444444444442</v>
      </c>
      <c r="D51" t="s">
        <v>42</v>
      </c>
      <c r="E51">
        <v>875</v>
      </c>
      <c r="F51" t="s">
        <v>18</v>
      </c>
      <c r="G51" t="s">
        <v>19</v>
      </c>
      <c r="H51" t="s">
        <v>26</v>
      </c>
      <c r="I51">
        <v>10</v>
      </c>
    </row>
    <row r="52" spans="1:9" x14ac:dyDescent="0.3">
      <c r="A52" t="s">
        <v>93</v>
      </c>
      <c r="B52" s="1">
        <v>46048</v>
      </c>
      <c r="C52" s="2">
        <v>0.44944444444444442</v>
      </c>
      <c r="D52" t="s">
        <v>12</v>
      </c>
      <c r="E52">
        <v>4114</v>
      </c>
      <c r="F52" t="s">
        <v>18</v>
      </c>
      <c r="G52" t="s">
        <v>19</v>
      </c>
      <c r="H52" t="s">
        <v>20</v>
      </c>
      <c r="I52">
        <v>10</v>
      </c>
    </row>
    <row r="53" spans="1:9" x14ac:dyDescent="0.3">
      <c r="A53" t="s">
        <v>94</v>
      </c>
      <c r="B53" s="1">
        <v>46044</v>
      </c>
      <c r="C53" s="2">
        <v>0.44944444444444442</v>
      </c>
      <c r="D53" t="s">
        <v>44</v>
      </c>
      <c r="E53">
        <v>134</v>
      </c>
      <c r="F53" t="s">
        <v>13</v>
      </c>
      <c r="G53" t="s">
        <v>40</v>
      </c>
      <c r="H53" t="s">
        <v>26</v>
      </c>
      <c r="I53">
        <v>10</v>
      </c>
    </row>
    <row r="54" spans="1:9" x14ac:dyDescent="0.3">
      <c r="A54" t="s">
        <v>95</v>
      </c>
      <c r="B54" s="1">
        <v>46051</v>
      </c>
      <c r="C54" s="2">
        <v>0.44944444444444442</v>
      </c>
      <c r="D54" t="s">
        <v>17</v>
      </c>
      <c r="E54">
        <v>3252</v>
      </c>
      <c r="F54" t="s">
        <v>18</v>
      </c>
      <c r="G54" t="s">
        <v>19</v>
      </c>
      <c r="H54" t="s">
        <v>24</v>
      </c>
      <c r="I54">
        <v>10</v>
      </c>
    </row>
    <row r="55" spans="1:9" x14ac:dyDescent="0.3">
      <c r="A55" t="s">
        <v>96</v>
      </c>
      <c r="B55" s="1">
        <v>46035</v>
      </c>
      <c r="C55" s="2">
        <v>0.44944444444444442</v>
      </c>
      <c r="D55" t="s">
        <v>22</v>
      </c>
      <c r="E55">
        <v>2055</v>
      </c>
      <c r="F55" t="s">
        <v>58</v>
      </c>
      <c r="G55" t="s">
        <v>19</v>
      </c>
      <c r="H55" t="s">
        <v>31</v>
      </c>
      <c r="I55">
        <v>10</v>
      </c>
    </row>
    <row r="56" spans="1:9" x14ac:dyDescent="0.3">
      <c r="A56" t="s">
        <v>97</v>
      </c>
      <c r="B56" s="1">
        <v>46045</v>
      </c>
      <c r="C56" s="2">
        <v>0.44944444444444442</v>
      </c>
      <c r="D56" t="s">
        <v>17</v>
      </c>
      <c r="E56">
        <v>1685</v>
      </c>
      <c r="F56" t="s">
        <v>58</v>
      </c>
      <c r="G56" t="s">
        <v>19</v>
      </c>
      <c r="H56" t="s">
        <v>26</v>
      </c>
      <c r="I56">
        <v>10</v>
      </c>
    </row>
    <row r="57" spans="1:9" x14ac:dyDescent="0.3">
      <c r="A57" t="s">
        <v>98</v>
      </c>
      <c r="B57" s="1">
        <v>46060</v>
      </c>
      <c r="C57" s="2">
        <v>0.44944444444444442</v>
      </c>
      <c r="D57" t="s">
        <v>44</v>
      </c>
      <c r="E57">
        <v>4043</v>
      </c>
      <c r="F57" t="s">
        <v>18</v>
      </c>
      <c r="G57" t="s">
        <v>19</v>
      </c>
      <c r="H57" t="s">
        <v>24</v>
      </c>
      <c r="I57">
        <v>10</v>
      </c>
    </row>
    <row r="58" spans="1:9" x14ac:dyDescent="0.3">
      <c r="A58" t="s">
        <v>99</v>
      </c>
      <c r="B58" s="1">
        <v>46036</v>
      </c>
      <c r="C58" s="2">
        <v>0.44944444444444442</v>
      </c>
      <c r="D58" t="s">
        <v>22</v>
      </c>
      <c r="E58">
        <v>3173</v>
      </c>
      <c r="F58" t="s">
        <v>18</v>
      </c>
      <c r="G58" t="s">
        <v>19</v>
      </c>
      <c r="H58" t="s">
        <v>20</v>
      </c>
      <c r="I58">
        <v>10</v>
      </c>
    </row>
    <row r="59" spans="1:9" x14ac:dyDescent="0.3">
      <c r="A59" t="s">
        <v>100</v>
      </c>
      <c r="B59" s="1">
        <v>46035</v>
      </c>
      <c r="C59" s="2">
        <v>0.44944444444444442</v>
      </c>
      <c r="D59" t="s">
        <v>44</v>
      </c>
      <c r="E59">
        <v>1121</v>
      </c>
      <c r="F59" t="s">
        <v>18</v>
      </c>
      <c r="G59" t="s">
        <v>19</v>
      </c>
      <c r="H59" t="s">
        <v>20</v>
      </c>
      <c r="I59">
        <v>10</v>
      </c>
    </row>
    <row r="60" spans="1:9" x14ac:dyDescent="0.3">
      <c r="A60" t="s">
        <v>101</v>
      </c>
      <c r="B60" s="1">
        <v>46045</v>
      </c>
      <c r="C60" s="2">
        <v>0.44944444444444442</v>
      </c>
      <c r="D60" t="s">
        <v>42</v>
      </c>
      <c r="E60">
        <v>3561</v>
      </c>
      <c r="F60" t="s">
        <v>18</v>
      </c>
      <c r="G60" t="s">
        <v>19</v>
      </c>
      <c r="H60" t="s">
        <v>24</v>
      </c>
      <c r="I60">
        <v>10</v>
      </c>
    </row>
    <row r="61" spans="1:9" x14ac:dyDescent="0.3">
      <c r="A61" t="s">
        <v>102</v>
      </c>
      <c r="B61" s="1">
        <v>46041</v>
      </c>
      <c r="C61" s="2">
        <v>0.44944444444444442</v>
      </c>
      <c r="D61" t="s">
        <v>22</v>
      </c>
      <c r="E61">
        <v>2713</v>
      </c>
      <c r="F61" t="s">
        <v>18</v>
      </c>
      <c r="G61" t="s">
        <v>19</v>
      </c>
      <c r="H61" t="s">
        <v>20</v>
      </c>
      <c r="I61">
        <v>10</v>
      </c>
    </row>
    <row r="62" spans="1:9" x14ac:dyDescent="0.3">
      <c r="A62" t="s">
        <v>103</v>
      </c>
      <c r="B62" s="1">
        <v>46035</v>
      </c>
      <c r="C62" s="2">
        <v>0.44944444444444442</v>
      </c>
      <c r="D62" t="s">
        <v>42</v>
      </c>
      <c r="E62">
        <v>3943</v>
      </c>
      <c r="F62" t="s">
        <v>18</v>
      </c>
      <c r="G62" t="s">
        <v>19</v>
      </c>
      <c r="H62" t="s">
        <v>24</v>
      </c>
      <c r="I62">
        <v>10</v>
      </c>
    </row>
    <row r="63" spans="1:9" x14ac:dyDescent="0.3">
      <c r="A63" t="s">
        <v>104</v>
      </c>
      <c r="B63" s="1">
        <v>46046</v>
      </c>
      <c r="C63" s="2">
        <v>0.44944444444444442</v>
      </c>
      <c r="D63" t="s">
        <v>17</v>
      </c>
      <c r="E63">
        <v>1600</v>
      </c>
      <c r="F63" t="s">
        <v>18</v>
      </c>
      <c r="G63" t="s">
        <v>19</v>
      </c>
      <c r="H63" t="s">
        <v>26</v>
      </c>
      <c r="I63">
        <v>10</v>
      </c>
    </row>
    <row r="64" spans="1:9" x14ac:dyDescent="0.3">
      <c r="A64" t="s">
        <v>105</v>
      </c>
      <c r="B64" s="1">
        <v>46034</v>
      </c>
      <c r="C64" s="2">
        <v>0.44944444444444442</v>
      </c>
      <c r="D64" t="s">
        <v>17</v>
      </c>
      <c r="E64">
        <v>4898</v>
      </c>
      <c r="F64" t="s">
        <v>18</v>
      </c>
      <c r="G64" t="s">
        <v>19</v>
      </c>
      <c r="H64" t="s">
        <v>26</v>
      </c>
      <c r="I64">
        <v>10</v>
      </c>
    </row>
    <row r="65" spans="1:9" x14ac:dyDescent="0.3">
      <c r="A65" t="s">
        <v>106</v>
      </c>
      <c r="B65" s="1">
        <v>46057</v>
      </c>
      <c r="C65" s="2">
        <v>0.44944444444444442</v>
      </c>
      <c r="D65" t="s">
        <v>22</v>
      </c>
      <c r="E65">
        <v>261</v>
      </c>
      <c r="F65" t="s">
        <v>18</v>
      </c>
      <c r="G65" t="s">
        <v>19</v>
      </c>
      <c r="H65" t="s">
        <v>24</v>
      </c>
      <c r="I65">
        <v>10</v>
      </c>
    </row>
    <row r="66" spans="1:9" x14ac:dyDescent="0.3">
      <c r="A66" t="s">
        <v>107</v>
      </c>
      <c r="B66" s="1">
        <v>46045</v>
      </c>
      <c r="C66" s="2">
        <v>0.44944444444444442</v>
      </c>
      <c r="D66" t="s">
        <v>22</v>
      </c>
      <c r="E66">
        <v>4397</v>
      </c>
      <c r="F66" t="s">
        <v>58</v>
      </c>
      <c r="G66" t="s">
        <v>19</v>
      </c>
      <c r="H66" t="s">
        <v>26</v>
      </c>
      <c r="I66">
        <v>10</v>
      </c>
    </row>
    <row r="67" spans="1:9" x14ac:dyDescent="0.3">
      <c r="A67" t="s">
        <v>108</v>
      </c>
      <c r="B67" s="1">
        <v>46046</v>
      </c>
      <c r="C67" s="2">
        <v>0.44944444444444442</v>
      </c>
      <c r="D67" t="s">
        <v>44</v>
      </c>
      <c r="E67">
        <v>2081</v>
      </c>
      <c r="F67" t="s">
        <v>18</v>
      </c>
      <c r="G67" t="s">
        <v>19</v>
      </c>
      <c r="H67" t="s">
        <v>26</v>
      </c>
      <c r="I67">
        <v>10</v>
      </c>
    </row>
    <row r="68" spans="1:9" x14ac:dyDescent="0.3">
      <c r="A68" t="s">
        <v>109</v>
      </c>
      <c r="B68" s="1">
        <v>46055</v>
      </c>
      <c r="C68" s="2">
        <v>0.44944444444444442</v>
      </c>
      <c r="D68" t="s">
        <v>44</v>
      </c>
      <c r="E68">
        <v>1095</v>
      </c>
      <c r="F68" t="s">
        <v>18</v>
      </c>
      <c r="G68" t="s">
        <v>19</v>
      </c>
      <c r="H68" t="s">
        <v>26</v>
      </c>
      <c r="I68">
        <v>10</v>
      </c>
    </row>
    <row r="69" spans="1:9" x14ac:dyDescent="0.3">
      <c r="A69" t="s">
        <v>110</v>
      </c>
      <c r="B69" s="1">
        <v>46047</v>
      </c>
      <c r="C69" s="2">
        <v>0.44944444444444442</v>
      </c>
      <c r="D69" t="s">
        <v>42</v>
      </c>
      <c r="E69">
        <v>3442</v>
      </c>
      <c r="F69" t="s">
        <v>18</v>
      </c>
      <c r="G69" t="s">
        <v>19</v>
      </c>
      <c r="H69" t="s">
        <v>15</v>
      </c>
      <c r="I69">
        <v>10</v>
      </c>
    </row>
    <row r="70" spans="1:9" x14ac:dyDescent="0.3">
      <c r="A70" t="s">
        <v>111</v>
      </c>
      <c r="B70" s="1">
        <v>46038</v>
      </c>
      <c r="C70" s="2">
        <v>0.44944444444444442</v>
      </c>
      <c r="D70" t="s">
        <v>22</v>
      </c>
      <c r="E70">
        <v>4651</v>
      </c>
      <c r="F70" t="s">
        <v>58</v>
      </c>
      <c r="G70" t="s">
        <v>19</v>
      </c>
      <c r="H70" t="s">
        <v>31</v>
      </c>
      <c r="I70">
        <v>10</v>
      </c>
    </row>
    <row r="71" spans="1:9" x14ac:dyDescent="0.3">
      <c r="A71" t="s">
        <v>112</v>
      </c>
      <c r="B71" s="1">
        <v>46047</v>
      </c>
      <c r="C71" s="2">
        <v>0.44944444444444442</v>
      </c>
      <c r="D71" t="s">
        <v>17</v>
      </c>
      <c r="E71">
        <v>3898</v>
      </c>
      <c r="F71" t="s">
        <v>18</v>
      </c>
      <c r="G71" t="s">
        <v>19</v>
      </c>
      <c r="H71" t="s">
        <v>20</v>
      </c>
      <c r="I71">
        <v>10</v>
      </c>
    </row>
    <row r="72" spans="1:9" x14ac:dyDescent="0.3">
      <c r="A72" t="s">
        <v>113</v>
      </c>
      <c r="B72" s="1">
        <v>46041</v>
      </c>
      <c r="C72" s="2">
        <v>0.44944444444444442</v>
      </c>
      <c r="D72" t="s">
        <v>44</v>
      </c>
      <c r="E72">
        <v>1375</v>
      </c>
      <c r="F72" t="s">
        <v>18</v>
      </c>
      <c r="G72" t="s">
        <v>19</v>
      </c>
      <c r="H72" t="s">
        <v>15</v>
      </c>
      <c r="I72">
        <v>10</v>
      </c>
    </row>
    <row r="73" spans="1:9" x14ac:dyDescent="0.3">
      <c r="A73" t="s">
        <v>114</v>
      </c>
      <c r="B73" s="1">
        <v>46048</v>
      </c>
      <c r="C73" s="2">
        <v>0.44944444444444442</v>
      </c>
      <c r="D73" t="s">
        <v>44</v>
      </c>
      <c r="E73">
        <v>1116</v>
      </c>
      <c r="F73" t="s">
        <v>13</v>
      </c>
      <c r="G73" t="s">
        <v>23</v>
      </c>
      <c r="H73" t="s">
        <v>26</v>
      </c>
      <c r="I73">
        <v>10</v>
      </c>
    </row>
    <row r="74" spans="1:9" x14ac:dyDescent="0.3">
      <c r="A74" t="s">
        <v>115</v>
      </c>
      <c r="B74" s="1">
        <v>46043</v>
      </c>
      <c r="C74" s="2">
        <v>0.44944444444444442</v>
      </c>
      <c r="D74" t="s">
        <v>17</v>
      </c>
      <c r="E74">
        <v>437</v>
      </c>
      <c r="F74" t="s">
        <v>18</v>
      </c>
      <c r="G74" t="s">
        <v>19</v>
      </c>
      <c r="H74" t="s">
        <v>24</v>
      </c>
      <c r="I74">
        <v>10</v>
      </c>
    </row>
    <row r="75" spans="1:9" x14ac:dyDescent="0.3">
      <c r="A75" t="s">
        <v>116</v>
      </c>
      <c r="B75" s="1">
        <v>46043</v>
      </c>
      <c r="C75" s="2">
        <v>0.44944444444444442</v>
      </c>
      <c r="D75" t="s">
        <v>44</v>
      </c>
      <c r="E75">
        <v>978</v>
      </c>
      <c r="F75" t="s">
        <v>13</v>
      </c>
      <c r="G75" t="s">
        <v>40</v>
      </c>
      <c r="H75" t="s">
        <v>26</v>
      </c>
      <c r="I75">
        <v>10</v>
      </c>
    </row>
    <row r="76" spans="1:9" x14ac:dyDescent="0.3">
      <c r="A76" t="s">
        <v>117</v>
      </c>
      <c r="B76" s="1">
        <v>46061</v>
      </c>
      <c r="C76" s="2">
        <v>0.44944444444444442</v>
      </c>
      <c r="D76" t="s">
        <v>42</v>
      </c>
      <c r="E76">
        <v>1176</v>
      </c>
      <c r="F76" t="s">
        <v>18</v>
      </c>
      <c r="G76" t="s">
        <v>19</v>
      </c>
      <c r="H76" t="s">
        <v>31</v>
      </c>
      <c r="I76">
        <v>10</v>
      </c>
    </row>
    <row r="77" spans="1:9" x14ac:dyDescent="0.3">
      <c r="A77" t="s">
        <v>118</v>
      </c>
      <c r="B77" s="1">
        <v>46056</v>
      </c>
      <c r="C77" s="2">
        <v>0.44944444444444442</v>
      </c>
      <c r="D77" t="s">
        <v>22</v>
      </c>
      <c r="E77">
        <v>4987</v>
      </c>
      <c r="F77" t="s">
        <v>18</v>
      </c>
      <c r="G77" t="s">
        <v>19</v>
      </c>
      <c r="H77" t="s">
        <v>26</v>
      </c>
      <c r="I77">
        <v>10</v>
      </c>
    </row>
    <row r="78" spans="1:9" x14ac:dyDescent="0.3">
      <c r="A78" t="s">
        <v>119</v>
      </c>
      <c r="B78" s="1">
        <v>46035</v>
      </c>
      <c r="C78" s="2">
        <v>0.44944444444444442</v>
      </c>
      <c r="D78" t="s">
        <v>17</v>
      </c>
      <c r="E78">
        <v>4093</v>
      </c>
      <c r="F78" t="s">
        <v>18</v>
      </c>
      <c r="G78" t="s">
        <v>19</v>
      </c>
      <c r="H78" t="s">
        <v>24</v>
      </c>
      <c r="I78">
        <v>10</v>
      </c>
    </row>
    <row r="79" spans="1:9" x14ac:dyDescent="0.3">
      <c r="A79" t="s">
        <v>120</v>
      </c>
      <c r="B79" s="1">
        <v>46058</v>
      </c>
      <c r="C79" s="2">
        <v>0.44944444444444442</v>
      </c>
      <c r="D79" t="s">
        <v>22</v>
      </c>
      <c r="E79">
        <v>4959</v>
      </c>
      <c r="F79" t="s">
        <v>18</v>
      </c>
      <c r="G79" t="s">
        <v>19</v>
      </c>
      <c r="H79" t="s">
        <v>31</v>
      </c>
      <c r="I79">
        <v>10</v>
      </c>
    </row>
    <row r="80" spans="1:9" x14ac:dyDescent="0.3">
      <c r="A80" t="s">
        <v>121</v>
      </c>
      <c r="B80" s="1">
        <v>46049</v>
      </c>
      <c r="C80" s="2">
        <v>0.44944444444444442</v>
      </c>
      <c r="D80" t="s">
        <v>44</v>
      </c>
      <c r="E80">
        <v>479</v>
      </c>
      <c r="F80" t="s">
        <v>18</v>
      </c>
      <c r="G80" t="s">
        <v>19</v>
      </c>
      <c r="H80" t="s">
        <v>26</v>
      </c>
      <c r="I80">
        <v>10</v>
      </c>
    </row>
    <row r="81" spans="1:9" x14ac:dyDescent="0.3">
      <c r="A81" t="s">
        <v>122</v>
      </c>
      <c r="B81" s="1">
        <v>46044</v>
      </c>
      <c r="C81" s="2">
        <v>0.44944444444444442</v>
      </c>
      <c r="D81" t="s">
        <v>44</v>
      </c>
      <c r="E81">
        <v>592</v>
      </c>
      <c r="F81" t="s">
        <v>13</v>
      </c>
      <c r="G81" t="s">
        <v>14</v>
      </c>
      <c r="H81" t="s">
        <v>31</v>
      </c>
      <c r="I81">
        <v>10</v>
      </c>
    </row>
    <row r="82" spans="1:9" x14ac:dyDescent="0.3">
      <c r="A82" t="s">
        <v>123</v>
      </c>
      <c r="B82" s="1">
        <v>46043</v>
      </c>
      <c r="C82" s="2">
        <v>0.44944444444444442</v>
      </c>
      <c r="D82" t="s">
        <v>17</v>
      </c>
      <c r="E82">
        <v>2162</v>
      </c>
      <c r="F82" t="s">
        <v>18</v>
      </c>
      <c r="G82" t="s">
        <v>19</v>
      </c>
      <c r="H82" t="s">
        <v>20</v>
      </c>
      <c r="I82">
        <v>10</v>
      </c>
    </row>
    <row r="83" spans="1:9" x14ac:dyDescent="0.3">
      <c r="A83" t="s">
        <v>124</v>
      </c>
      <c r="B83" s="1">
        <v>46057</v>
      </c>
      <c r="C83" s="2">
        <v>0.44944444444444442</v>
      </c>
      <c r="D83" t="s">
        <v>42</v>
      </c>
      <c r="E83">
        <v>3984</v>
      </c>
      <c r="F83" t="s">
        <v>18</v>
      </c>
      <c r="G83" t="s">
        <v>19</v>
      </c>
      <c r="H83" t="s">
        <v>20</v>
      </c>
      <c r="I83">
        <v>10</v>
      </c>
    </row>
    <row r="84" spans="1:9" x14ac:dyDescent="0.3">
      <c r="A84" t="s">
        <v>125</v>
      </c>
      <c r="B84" s="1">
        <v>46042</v>
      </c>
      <c r="C84" s="2">
        <v>0.44944444444444442</v>
      </c>
      <c r="D84" t="s">
        <v>12</v>
      </c>
      <c r="E84">
        <v>164</v>
      </c>
      <c r="F84" t="s">
        <v>18</v>
      </c>
      <c r="G84" t="s">
        <v>19</v>
      </c>
      <c r="H84" t="s">
        <v>26</v>
      </c>
      <c r="I84">
        <v>10</v>
      </c>
    </row>
    <row r="85" spans="1:9" x14ac:dyDescent="0.3">
      <c r="A85" t="s">
        <v>126</v>
      </c>
      <c r="B85" s="1">
        <v>46047</v>
      </c>
      <c r="C85" s="2">
        <v>0.44944444444444442</v>
      </c>
      <c r="D85" t="s">
        <v>17</v>
      </c>
      <c r="E85">
        <v>2668</v>
      </c>
      <c r="F85" t="s">
        <v>18</v>
      </c>
      <c r="G85" t="s">
        <v>19</v>
      </c>
      <c r="H85" t="s">
        <v>31</v>
      </c>
      <c r="I85">
        <v>10</v>
      </c>
    </row>
    <row r="86" spans="1:9" x14ac:dyDescent="0.3">
      <c r="A86" t="s">
        <v>127</v>
      </c>
      <c r="B86" s="1">
        <v>46056</v>
      </c>
      <c r="C86" s="2">
        <v>0.44944444444444442</v>
      </c>
      <c r="D86" t="s">
        <v>12</v>
      </c>
      <c r="E86">
        <v>2127</v>
      </c>
      <c r="F86" t="s">
        <v>18</v>
      </c>
      <c r="G86" t="s">
        <v>19</v>
      </c>
      <c r="H86" t="s">
        <v>24</v>
      </c>
      <c r="I86">
        <v>10</v>
      </c>
    </row>
    <row r="87" spans="1:9" x14ac:dyDescent="0.3">
      <c r="A87" t="s">
        <v>128</v>
      </c>
      <c r="B87" s="1">
        <v>46048</v>
      </c>
      <c r="C87" s="2">
        <v>0.44944444444444442</v>
      </c>
      <c r="D87" t="s">
        <v>12</v>
      </c>
      <c r="E87">
        <v>2795</v>
      </c>
      <c r="F87" t="s">
        <v>18</v>
      </c>
      <c r="G87" t="s">
        <v>19</v>
      </c>
      <c r="H87" t="s">
        <v>26</v>
      </c>
      <c r="I87">
        <v>10</v>
      </c>
    </row>
    <row r="88" spans="1:9" x14ac:dyDescent="0.3">
      <c r="A88" t="s">
        <v>129</v>
      </c>
      <c r="B88" s="1">
        <v>46061</v>
      </c>
      <c r="C88" s="2">
        <v>0.44944444444444442</v>
      </c>
      <c r="D88" t="s">
        <v>42</v>
      </c>
      <c r="E88">
        <v>1595</v>
      </c>
      <c r="F88" t="s">
        <v>18</v>
      </c>
      <c r="G88" t="s">
        <v>19</v>
      </c>
      <c r="H88" t="s">
        <v>20</v>
      </c>
      <c r="I88">
        <v>10</v>
      </c>
    </row>
    <row r="89" spans="1:9" x14ac:dyDescent="0.3">
      <c r="A89" t="s">
        <v>130</v>
      </c>
      <c r="B89" s="1">
        <v>46037</v>
      </c>
      <c r="C89" s="2">
        <v>0.44944444444444442</v>
      </c>
      <c r="D89" t="s">
        <v>12</v>
      </c>
      <c r="E89">
        <v>491</v>
      </c>
      <c r="F89" t="s">
        <v>18</v>
      </c>
      <c r="G89" t="s">
        <v>19</v>
      </c>
      <c r="H89" t="s">
        <v>20</v>
      </c>
      <c r="I89">
        <v>10</v>
      </c>
    </row>
    <row r="90" spans="1:9" x14ac:dyDescent="0.3">
      <c r="A90" t="s">
        <v>131</v>
      </c>
      <c r="B90" s="1">
        <v>46051</v>
      </c>
      <c r="C90" s="2">
        <v>0.44944444444444442</v>
      </c>
      <c r="D90" t="s">
        <v>12</v>
      </c>
      <c r="E90">
        <v>4614</v>
      </c>
      <c r="F90" t="s">
        <v>18</v>
      </c>
      <c r="G90" t="s">
        <v>19</v>
      </c>
      <c r="H90" t="s">
        <v>26</v>
      </c>
      <c r="I90">
        <v>10</v>
      </c>
    </row>
    <row r="91" spans="1:9" x14ac:dyDescent="0.3">
      <c r="A91" t="s">
        <v>132</v>
      </c>
      <c r="B91" s="1">
        <v>46047</v>
      </c>
      <c r="C91" s="2">
        <v>0.44944444444444442</v>
      </c>
      <c r="D91" t="s">
        <v>42</v>
      </c>
      <c r="E91">
        <v>4574</v>
      </c>
      <c r="F91" t="s">
        <v>18</v>
      </c>
      <c r="G91" t="s">
        <v>19</v>
      </c>
      <c r="H91" t="s">
        <v>31</v>
      </c>
      <c r="I91">
        <v>10</v>
      </c>
    </row>
    <row r="92" spans="1:9" x14ac:dyDescent="0.3">
      <c r="A92" t="s">
        <v>133</v>
      </c>
      <c r="B92" s="1">
        <v>46039</v>
      </c>
      <c r="C92" s="2">
        <v>0.44944444444444442</v>
      </c>
      <c r="D92" t="s">
        <v>12</v>
      </c>
      <c r="E92">
        <v>3661</v>
      </c>
      <c r="F92" t="s">
        <v>18</v>
      </c>
      <c r="G92" t="s">
        <v>19</v>
      </c>
      <c r="H92" t="s">
        <v>20</v>
      </c>
      <c r="I92">
        <v>10</v>
      </c>
    </row>
    <row r="93" spans="1:9" x14ac:dyDescent="0.3">
      <c r="A93" t="s">
        <v>134</v>
      </c>
      <c r="B93" s="1">
        <v>46048</v>
      </c>
      <c r="C93" s="2">
        <v>0.44944444444444442</v>
      </c>
      <c r="D93" t="s">
        <v>12</v>
      </c>
      <c r="E93">
        <v>2378</v>
      </c>
      <c r="F93" t="s">
        <v>18</v>
      </c>
      <c r="G93" t="s">
        <v>19</v>
      </c>
      <c r="H93" t="s">
        <v>31</v>
      </c>
      <c r="I93">
        <v>10</v>
      </c>
    </row>
    <row r="94" spans="1:9" x14ac:dyDescent="0.3">
      <c r="A94" t="s">
        <v>135</v>
      </c>
      <c r="B94" s="1">
        <v>46041</v>
      </c>
      <c r="C94" s="2">
        <v>0.44944444444444442</v>
      </c>
      <c r="D94" t="s">
        <v>12</v>
      </c>
      <c r="E94">
        <v>3199</v>
      </c>
      <c r="F94" t="s">
        <v>58</v>
      </c>
      <c r="G94" t="s">
        <v>19</v>
      </c>
      <c r="H94" t="s">
        <v>20</v>
      </c>
      <c r="I94">
        <v>10</v>
      </c>
    </row>
    <row r="95" spans="1:9" x14ac:dyDescent="0.3">
      <c r="A95" t="s">
        <v>136</v>
      </c>
      <c r="B95" s="1">
        <v>46050</v>
      </c>
      <c r="C95" s="2">
        <v>0.44944444444444442</v>
      </c>
      <c r="D95" t="s">
        <v>17</v>
      </c>
      <c r="E95">
        <v>300</v>
      </c>
      <c r="F95" t="s">
        <v>18</v>
      </c>
      <c r="G95" t="s">
        <v>19</v>
      </c>
      <c r="H95" t="s">
        <v>20</v>
      </c>
      <c r="I95">
        <v>10</v>
      </c>
    </row>
    <row r="96" spans="1:9" x14ac:dyDescent="0.3">
      <c r="A96" t="s">
        <v>137</v>
      </c>
      <c r="B96" s="1">
        <v>46034</v>
      </c>
      <c r="C96" s="2">
        <v>0.44944444444444442</v>
      </c>
      <c r="D96" t="s">
        <v>17</v>
      </c>
      <c r="E96">
        <v>4975</v>
      </c>
      <c r="F96" t="s">
        <v>18</v>
      </c>
      <c r="G96" t="s">
        <v>19</v>
      </c>
      <c r="H96" t="s">
        <v>15</v>
      </c>
      <c r="I96">
        <v>10</v>
      </c>
    </row>
    <row r="97" spans="1:9" x14ac:dyDescent="0.3">
      <c r="A97" t="s">
        <v>138</v>
      </c>
      <c r="B97" s="1">
        <v>46059</v>
      </c>
      <c r="C97" s="2">
        <v>0.44944444444444442</v>
      </c>
      <c r="D97" t="s">
        <v>17</v>
      </c>
      <c r="E97">
        <v>3204</v>
      </c>
      <c r="F97" t="s">
        <v>18</v>
      </c>
      <c r="G97" t="s">
        <v>19</v>
      </c>
      <c r="H97" t="s">
        <v>20</v>
      </c>
      <c r="I97">
        <v>10</v>
      </c>
    </row>
    <row r="98" spans="1:9" x14ac:dyDescent="0.3">
      <c r="A98" t="s">
        <v>139</v>
      </c>
      <c r="B98" s="1">
        <v>46041</v>
      </c>
      <c r="C98" s="2">
        <v>0.44944444444444442</v>
      </c>
      <c r="D98" t="s">
        <v>42</v>
      </c>
      <c r="E98">
        <v>4698</v>
      </c>
      <c r="F98" t="s">
        <v>58</v>
      </c>
      <c r="G98" t="s">
        <v>19</v>
      </c>
      <c r="H98" t="s">
        <v>24</v>
      </c>
      <c r="I98">
        <v>10</v>
      </c>
    </row>
    <row r="99" spans="1:9" x14ac:dyDescent="0.3">
      <c r="A99" t="s">
        <v>140</v>
      </c>
      <c r="B99" s="1">
        <v>46050</v>
      </c>
      <c r="C99" s="2">
        <v>0.44944444444444442</v>
      </c>
      <c r="D99" t="s">
        <v>44</v>
      </c>
      <c r="E99">
        <v>2554</v>
      </c>
      <c r="F99" t="s">
        <v>13</v>
      </c>
      <c r="G99" t="s">
        <v>23</v>
      </c>
      <c r="H99" t="s">
        <v>26</v>
      </c>
      <c r="I99">
        <v>10</v>
      </c>
    </row>
    <row r="100" spans="1:9" x14ac:dyDescent="0.3">
      <c r="A100" t="s">
        <v>141</v>
      </c>
      <c r="B100" s="1">
        <v>46035</v>
      </c>
      <c r="C100" s="2">
        <v>0.44944444444444442</v>
      </c>
      <c r="D100" t="s">
        <v>12</v>
      </c>
      <c r="E100">
        <v>3745</v>
      </c>
      <c r="F100" t="s">
        <v>18</v>
      </c>
      <c r="G100" t="s">
        <v>19</v>
      </c>
      <c r="H100" t="s">
        <v>26</v>
      </c>
      <c r="I100">
        <v>10</v>
      </c>
    </row>
    <row r="101" spans="1:9" x14ac:dyDescent="0.3">
      <c r="A101" t="s">
        <v>142</v>
      </c>
      <c r="B101" s="1">
        <v>46047</v>
      </c>
      <c r="C101" s="2">
        <v>0.44944444444444442</v>
      </c>
      <c r="D101" t="s">
        <v>12</v>
      </c>
      <c r="E101">
        <v>904</v>
      </c>
      <c r="F101" t="s">
        <v>18</v>
      </c>
      <c r="G101" t="s">
        <v>19</v>
      </c>
      <c r="H101" t="s">
        <v>31</v>
      </c>
      <c r="I101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37E5-6F01-4F6A-BDD9-790AE0D60A50}">
  <sheetPr codeName="Sheet3"/>
  <dimension ref="A1:K17"/>
  <sheetViews>
    <sheetView workbookViewId="0">
      <selection activeCell="F19" sqref="F19"/>
    </sheetView>
  </sheetViews>
  <sheetFormatPr defaultRowHeight="14.4" x14ac:dyDescent="0.3"/>
  <cols>
    <col min="1" max="1" width="13.5546875" bestFit="1" customWidth="1"/>
    <col min="2" max="2" width="21.6640625" bestFit="1" customWidth="1"/>
    <col min="6" max="6" width="12.5546875" bestFit="1" customWidth="1"/>
    <col min="7" max="7" width="21.6640625" bestFit="1" customWidth="1"/>
    <col min="10" max="10" width="15.33203125" bestFit="1" customWidth="1"/>
    <col min="11" max="11" width="21.6640625" bestFit="1" customWidth="1"/>
  </cols>
  <sheetData>
    <row r="1" spans="1:11" x14ac:dyDescent="0.3">
      <c r="F1" s="4" t="s">
        <v>6</v>
      </c>
      <c r="G1" t="s">
        <v>143</v>
      </c>
      <c r="J1" s="4" t="s">
        <v>5</v>
      </c>
      <c r="K1" t="s">
        <v>143</v>
      </c>
    </row>
    <row r="3" spans="1:11" x14ac:dyDescent="0.3">
      <c r="A3" s="4" t="s">
        <v>144</v>
      </c>
      <c r="B3" t="s">
        <v>145</v>
      </c>
      <c r="F3" s="4" t="s">
        <v>144</v>
      </c>
      <c r="G3" t="s">
        <v>145</v>
      </c>
      <c r="J3" s="4" t="s">
        <v>144</v>
      </c>
      <c r="K3" t="s">
        <v>145</v>
      </c>
    </row>
    <row r="4" spans="1:11" x14ac:dyDescent="0.3">
      <c r="A4" s="3" t="s">
        <v>13</v>
      </c>
      <c r="B4">
        <v>19</v>
      </c>
      <c r="F4" s="3" t="s">
        <v>12</v>
      </c>
      <c r="G4">
        <v>16</v>
      </c>
      <c r="J4" s="3" t="s">
        <v>34</v>
      </c>
      <c r="K4">
        <v>3</v>
      </c>
    </row>
    <row r="5" spans="1:11" x14ac:dyDescent="0.3">
      <c r="A5" s="3" t="s">
        <v>58</v>
      </c>
      <c r="B5">
        <v>9</v>
      </c>
      <c r="F5" s="3" t="s">
        <v>42</v>
      </c>
      <c r="G5">
        <v>22</v>
      </c>
      <c r="J5" s="3" t="s">
        <v>23</v>
      </c>
      <c r="K5">
        <v>7</v>
      </c>
    </row>
    <row r="6" spans="1:11" x14ac:dyDescent="0.3">
      <c r="A6" s="3" t="s">
        <v>18</v>
      </c>
      <c r="B6">
        <v>72</v>
      </c>
      <c r="F6" s="3" t="s">
        <v>22</v>
      </c>
      <c r="G6">
        <v>19</v>
      </c>
      <c r="J6" s="3" t="s">
        <v>19</v>
      </c>
      <c r="K6">
        <v>81</v>
      </c>
    </row>
    <row r="7" spans="1:11" x14ac:dyDescent="0.3">
      <c r="A7" s="3" t="s">
        <v>146</v>
      </c>
      <c r="B7">
        <v>100</v>
      </c>
      <c r="F7" s="3" t="s">
        <v>17</v>
      </c>
      <c r="G7">
        <v>26</v>
      </c>
      <c r="J7" s="3" t="s">
        <v>14</v>
      </c>
      <c r="K7">
        <v>4</v>
      </c>
    </row>
    <row r="8" spans="1:11" x14ac:dyDescent="0.3">
      <c r="F8" s="3" t="s">
        <v>44</v>
      </c>
      <c r="G8">
        <v>17</v>
      </c>
      <c r="J8" s="3" t="s">
        <v>40</v>
      </c>
      <c r="K8">
        <v>5</v>
      </c>
    </row>
    <row r="9" spans="1:11" x14ac:dyDescent="0.3">
      <c r="A9" s="4" t="s">
        <v>6</v>
      </c>
      <c r="B9" t="s">
        <v>143</v>
      </c>
      <c r="F9" s="3" t="s">
        <v>146</v>
      </c>
      <c r="G9">
        <v>100</v>
      </c>
      <c r="J9" s="3" t="s">
        <v>146</v>
      </c>
      <c r="K9">
        <v>100</v>
      </c>
    </row>
    <row r="10" spans="1:11" x14ac:dyDescent="0.3">
      <c r="F10" s="4" t="s">
        <v>5</v>
      </c>
      <c r="G10" t="s">
        <v>143</v>
      </c>
    </row>
    <row r="11" spans="1:11" x14ac:dyDescent="0.3">
      <c r="A11" s="4" t="s">
        <v>144</v>
      </c>
      <c r="B11" t="s">
        <v>145</v>
      </c>
    </row>
    <row r="12" spans="1:11" x14ac:dyDescent="0.3">
      <c r="A12" s="3" t="s">
        <v>24</v>
      </c>
      <c r="B12">
        <v>16</v>
      </c>
      <c r="F12" s="4" t="s">
        <v>144</v>
      </c>
      <c r="G12" t="s">
        <v>145</v>
      </c>
    </row>
    <row r="13" spans="1:11" x14ac:dyDescent="0.3">
      <c r="A13" s="3" t="s">
        <v>20</v>
      </c>
      <c r="B13">
        <v>25</v>
      </c>
      <c r="F13" s="3">
        <v>10</v>
      </c>
      <c r="G13">
        <v>100</v>
      </c>
    </row>
    <row r="14" spans="1:11" x14ac:dyDescent="0.3">
      <c r="A14" s="3" t="s">
        <v>15</v>
      </c>
      <c r="B14">
        <v>10</v>
      </c>
      <c r="F14" s="3" t="s">
        <v>146</v>
      </c>
      <c r="G14">
        <v>100</v>
      </c>
    </row>
    <row r="15" spans="1:11" x14ac:dyDescent="0.3">
      <c r="A15" s="3" t="s">
        <v>31</v>
      </c>
      <c r="B15">
        <v>24</v>
      </c>
    </row>
    <row r="16" spans="1:11" x14ac:dyDescent="0.3">
      <c r="A16" s="3" t="s">
        <v>26</v>
      </c>
      <c r="B16">
        <v>25</v>
      </c>
    </row>
    <row r="17" spans="1:2" x14ac:dyDescent="0.3">
      <c r="A17" s="3" t="s">
        <v>146</v>
      </c>
      <c r="B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Digital Transactions</vt:lpstr>
      <vt:lpstr>Sheet1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Elancheziyan K</dc:creator>
  <cp:lastModifiedBy>Elancheziyan K</cp:lastModifiedBy>
  <dcterms:created xsi:type="dcterms:W3CDTF">2026-02-09T18:16:39Z</dcterms:created>
  <dcterms:modified xsi:type="dcterms:W3CDTF">2026-02-10T12:19:50Z</dcterms:modified>
</cp:coreProperties>
</file>